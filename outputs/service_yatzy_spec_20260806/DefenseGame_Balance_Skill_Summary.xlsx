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e985b8967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b0ec49e349d4597"/>
    <x:sheet xmlns:r="http://schemas.openxmlformats.org/officeDocument/2006/relationships" name="초반튜닝_2026-06-16" sheetId="2" r:id="R36678bf0ca834bb7"/>
    <x:sheet xmlns:r="http://schemas.openxmlformats.org/officeDocument/2006/relationships" name="등급" sheetId="3" r:id="R1daa6c89c97349f9"/>
    <x:sheet xmlns:r="http://schemas.openxmlformats.org/officeDocument/2006/relationships" name="영웅 스킬" sheetId="4" r:id="Rd0bdafae4ccf47a4"/>
    <x:sheet xmlns:r="http://schemas.openxmlformats.org/officeDocument/2006/relationships" name="이벤트키" sheetId="5" r:id="R32d8995cb5c7447e"/>
    <x:sheet xmlns:r="http://schemas.openxmlformats.org/officeDocument/2006/relationships" name="아웃게임" sheetId="6" r:id="Rdeb8dc8c38ce4f1d"/>
    <x:sheet xmlns:r="http://schemas.openxmlformats.org/officeDocument/2006/relationships" name="밸런스 기준" sheetId="7" r:id="Rf58e68f56c294189"/>
    <x:sheet xmlns:r="http://schemas.openxmlformats.org/officeDocument/2006/relationships" name="테이블 위치" sheetId="8" r:id="R1b59cca7b87a4ff0"/>
    <x:sheet xmlns:r="http://schemas.openxmlformats.org/officeDocument/2006/relationships" name="UI_사운드" sheetId="9" r:id="R28d4540226a540cc"/>
    <x:sheet xmlns:r="http://schemas.openxmlformats.org/officeDocument/2006/relationships" name="미정_확인" sheetId="10" r:id="Re62e1599b3b645cd"/>
    <x:sheet xmlns:r="http://schemas.openxmlformats.org/officeDocument/2006/relationships" name="런변동성_1to6" sheetId="11" r:id="R456116c1400e4acf"/>
    <x:sheet xmlns:r="http://schemas.openxmlformats.org/officeDocument/2006/relationships" name="아웃게임_인게임" sheetId="12" r:id="Ra890d27b1a90418e"/>
    <x:sheet xmlns:r="http://schemas.openxmlformats.org/officeDocument/2006/relationships" name="영웅_등급표" sheetId="13" r:id="R584ab8d2a26244b4"/>
    <x:sheet xmlns:r="http://schemas.openxmlformats.org/officeDocument/2006/relationships" name="HeroAugments_V1" sheetId="14" r:id="R5a8bc375bc9d4db3"/>
    <x:sheet xmlns:r="http://schemas.openxmlformats.org/officeDocument/2006/relationships" name="몬스터_전투스킬" sheetId="15" r:id="R4f4bd19e36b346d5"/>
    <x:sheet xmlns:r="http://schemas.openxmlformats.org/officeDocument/2006/relationships" name="검증_2026-07-08" sheetId="16" r:id="R7fa14a63bd9d400f"/>
    <x:sheet xmlns:r="http://schemas.openxmlformats.org/officeDocument/2006/relationships" name="초반튜닝_최신" sheetId="17" r:id="R198678bd0cc4473e"/>
    <x:sheet xmlns:r="http://schemas.openxmlformats.org/officeDocument/2006/relationships" name="실측_5판" sheetId="18" r:id="Rc333f360f38c4c0d"/>
    <x:sheet xmlns:r="http://schemas.openxmlformats.org/officeDocument/2006/relationships" name="소환확률_R1-50" sheetId="19" r:id="R8718602255c14edd"/>
    <x:sheet xmlns:r="http://schemas.openxmlformats.org/officeDocument/2006/relationships" name="신규초월_55-57" sheetId="20" r:id="Rd1eb04d8ee0a400a"/>
    <x:sheet xmlns:r="http://schemas.openxmlformats.org/officeDocument/2006/relationships" name="몬스터전투스킬" sheetId="21" r:id="R2346e515bd574e11"/>
    <x:sheet xmlns:r="http://schemas.openxmlformats.org/officeDocument/2006/relationships" name="변경이력" sheetId="22" r:id="Rb72061f1201c4a30"/>
    <x:sheet xmlns:r="http://schemas.openxmlformats.org/officeDocument/2006/relationships" name="운명카드_18" sheetId="23" r:id="Re0ee7ab60af54e14"/>
    <x:sheet xmlns:r="http://schemas.openxmlformats.org/officeDocument/2006/relationships" name="검증_2026-07-09" sheetId="24" r:id="Rcb468694aa9043a9"/>
    <x:sheet xmlns:r="http://schemas.openxmlformats.org/officeDocument/2006/relationships" name="후속작업_9점" sheetId="25" r:id="R5f7a5b4f8e1b4f69"/>
    <x:sheet xmlns:r="http://schemas.openxmlformats.org/officeDocument/2006/relationships" name="Latest_2026-07-11" sheetId="26" r:id="Rc822185418894759"/>
    <x:sheet xmlns:r="http://schemas.openxmlformats.org/officeDocument/2006/relationships" name="Validation_2026-07-11" sheetId="27" r:id="Refa52fbb84c848a6"/>
    <x:sheet xmlns:r="http://schemas.openxmlformats.org/officeDocument/2006/relationships" name="Latest_2026-07-17" sheetId="28" r:id="R07d07aaf05494bd4"/>
    <x:sheet xmlns:r="http://schemas.openxmlformats.org/officeDocument/2006/relationships" name="Validation_2026-07-17" sheetId="29" r:id="R57820f6c2ab34d8d"/>
    <x:sheet xmlns:r="http://schemas.openxmlformats.org/officeDocument/2006/relationships" name="상용화_성장루프_2026-07-22" sheetId="30" r:id="R306f4d1ef5444f32"/>
    <x:sheet xmlns:r="http://schemas.openxmlformats.org/officeDocument/2006/relationships" name="서비스_획득설계_0806" sheetId="31" r:id="Rc0b6e5f550364980"/>
    <x:sheet xmlns:r="http://schemas.openxmlformats.org/officeDocument/2006/relationships" name="얏찌_제작명세_0806" sheetId="32" r:id="R15801704959e4416"/>
    <x:sheet xmlns:r="http://schemas.openxmlformats.org/officeDocument/2006/relationships" name="소환가중치_서비스" sheetId="33" r:id="Rec41b28205124b02"/>
    <x:sheet xmlns:r="http://schemas.openxmlformats.org/officeDocument/2006/relationships" name="구현체크_0806" sheetId="34" r:id="Rd724fc5b6bf9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0.0%"/>
    <x:numFmt numFmtId="165" formatCode="0.0"/>
    <x:numFmt numFmtId="166" formatCode="0.000"/>
    <x:numFmt numFmtId="167" formatCode="0.00&quot;x&quot;"/>
    <x:numFmt numFmtId="168" formatCode="0&quot;R&quot;"/>
    <x:numFmt numFmtId="200" formatCode="#,##0"/>
    <x:numFmt numFmtId="201" formatCode="0%"/>
    <x:numFmt numFmtId="202" formatCode="0.00x"/>
  </x:numFmts>
  <x:fonts count="38">
    <x:font>
      <x:sz val="11"/>
      <x:name val="Carlito"/>
    </x:font>
    <x:font>
      <x:b/>
      <x:sz val="18"/>
      <x:color rgb="FF0B1B55"/>
      <x:name val="맑은 고딕"/>
    </x:font>
    <x:font>
      <x:i/>
      <x:sz val="10"/>
      <x:color rgb="FF475569"/>
      <x:name val="맑은 고딕"/>
    </x:font>
    <x:font>
      <x:sz val="10"/>
      <x:color rgb="FF111827"/>
      <x:name val="맑은 고딕"/>
    </x:font>
    <x:font>
      <x:b/>
      <x:sz val="10"/>
      <x:color rgb="FF111827"/>
      <x:name val="맑은 고딕"/>
    </x:font>
    <x:font>
      <x:b/>
      <x:sz val="11"/>
      <x:color rgb="FFFFFFFF"/>
      <x:name val="Carlito"/>
    </x:font>
    <x:font>
      <x:b/>
      <x:sz val="12"/>
      <x:color rgb="FFFFFFFF"/>
    </x:font>
    <x:font>
      <x:b/>
      <x:color rgb="FFFFFFFF"/>
    </x:font>
    <x:font>
      <x:b/>
      <x:sz val="16"/>
      <x:color rgb="FFFFFFFF"/>
    </x:font>
    <x:font>
      <x:b/>
      <x:sz val="16"/>
      <x:color rgb="FFFFFFFF"/>
      <x:name val="맑은 고딕"/>
    </x:font>
    <x:font>
      <x:sz val="10"/>
      <x:color rgb="FF1F2937"/>
      <x:name val="맑은 고딕"/>
    </x:font>
    <x:font>
      <x:b/>
      <x:sz val="10"/>
      <x:color rgb="FFFFFFFF"/>
      <x:name val="맑은 고딕"/>
    </x:font>
    <x:font>
      <x:sz val="9"/>
      <x:color rgb="FF1F2937"/>
      <x:name val="맑은 고딕"/>
    </x:font>
    <x:font>
      <x:b/>
      <x:sz val="15"/>
      <x:color rgb="FFFFFFFF"/>
    </x:font>
    <x:font>
      <x:sz val="10"/>
      <x:color rgb="FF555555"/>
    </x:font>
    <x:font>
      <x:b/>
      <x:color rgb="FF1F2328"/>
    </x:font>
    <x:font>
      <x:b/>
      <x:sz val="13"/>
      <x:color rgb="FF7030A0"/>
    </x:font>
    <x:font>
      <x:b/>
      <x:sz val="14"/>
      <x:color rgb="FF1F1F1F"/>
    </x:font>
    <x:font>
      <x:b/>
      <x:sz val="10"/>
      <x:color rgb="FFFFFFFF"/>
    </x:font>
    <x:font>
      <x:sz val="10"/>
      <x:color rgb="FF1F1F1F"/>
    </x:font>
    <x:font>
      <x:b/>
      <x:sz val="16"/>
      <x:color rgb="FFFFFFFF"/>
    </x:font>
    <x:font>
      <x:i/>
      <x:sz val="10"/>
      <x:color rgb="FFD9E7FF"/>
    </x:font>
    <x:font>
      <x:b/>
      <x:color rgb="FFFFFFFF"/>
    </x:font>
    <x:font>
      <x:sz val="11"/>
      <x:color rgb="FF1F2937"/>
      <x:name val="Carlito"/>
    </x:font>
    <x:font>
      <x:i/>
      <x:sz val="11"/>
      <x:color rgb="FF344563"/>
      <x:name val="Carlito"/>
    </x:font>
    <x:font>
      <x:b/>
      <x:sz val="11"/>
      <x:color rgb="FF177245"/>
      <x:name val="Carlito"/>
    </x:font>
    <x:font>
      <x:b/>
      <x:sz val="11"/>
      <x:color rgb="FFFFFFFF"/>
      <x:name val="맑은 고딕"/>
    </x:font>
    <x:font>
      <x:i/>
      <x:sz val="11"/>
      <x:color rgb="FF475569"/>
      <x:name val="맑은 고딕"/>
    </x:font>
    <x:font>
      <x:b/>
      <x:sz val="11"/>
      <x:color rgb="FF7A4B00"/>
      <x:name val="맑은 고딕"/>
    </x:font>
    <x:font>
      <x:b/>
      <x:sz val="11"/>
      <x:color rgb="FF111827"/>
      <x:name val="맑은 고딕"/>
    </x:font>
    <x:font>
      <x:sz val="11"/>
      <x:color rgb="FF111827"/>
      <x:name val="맑은 고딕"/>
    </x:font>
    <x:font>
      <x:b/>
      <x:sz val="15"/>
      <x:color rgb="FFF2FFE8"/>
      <x:name val="맑은 고딕"/>
    </x:font>
    <x:font>
      <x:b/>
      <x:sz val="11"/>
      <x:color rgb="FFFFFFFF"/>
      <x:name val="맑은 고딕"/>
    </x:font>
    <x:font>
      <x:b/>
      <x:sz val="10"/>
      <x:color rgb="FF17332A"/>
      <x:name val="맑은 고딕"/>
    </x:font>
    <x:font>
      <x:sz val="10"/>
      <x:color rgb="FF17332A"/>
      <x:name val="맑은 고딕"/>
    </x:font>
    <x:font>
      <x:b/>
      <x:sz val="18"/>
      <x:color rgb="FFFFFFFF"/>
      <x:name val="맑은 고딕"/>
    </x:font>
    <x:font>
      <x:b/>
      <x:sz val="12"/>
      <x:color rgb="FF0B1B55"/>
      <x:name val="맑은 고딕"/>
    </x:font>
    <x:font>
      <x:b/>
      <x:sz val="11"/>
      <x:color rgb="FF375623"/>
      <x:name val="맑은 고딕"/>
    </x:font>
  </x:fonts>
  <x:fills count="47">
    <x:fill>
      <x:patternFill patternType="none"/>
    </x:fill>
    <x:fill>
      <x:patternFill patternType="gray125"/>
    </x:fill>
    <x:fill>
      <x:patternFill patternType="solid">
        <x:fgColor rgb="FF1560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8FBFD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75623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EADCF8"/>
      </x:patternFill>
    </x:fill>
    <x:fill>
      <x:patternFill patternType="solid">
        <x:fgColor rgb="FF8064A2"/>
      </x:patternFill>
    </x:fill>
    <x:fill>
      <x:patternFill patternType="solid">
        <x:fgColor rgb="FFC00000"/>
      </x:patternFill>
    </x:fill>
    <x:fill>
      <x:patternFill patternType="solid">
        <x:fgColor rgb="FF404040"/>
      </x:patternFill>
    </x:fill>
    <x:fill>
      <x:patternFill patternType="solid">
        <x:fgColor rgb="FFF2F2F2"/>
      </x:patternFill>
    </x:fill>
    <x:fill>
      <x:patternFill patternType="solid">
        <x:fgColor rgb="FF31205C"/>
      </x:patternFill>
    </x:fill>
    <x:fill>
      <x:patternFill patternType="solid">
        <x:fgColor rgb="FF253B73"/>
      </x:patternFill>
    </x:fill>
    <x:fill>
      <x:patternFill patternType="solid">
        <x:fgColor rgb="FF4768A8"/>
      </x:patternFill>
    </x:fill>
    <x:fill>
      <x:patternFill patternType="solid">
        <x:fgColor rgb="FFF5F8FF"/>
      </x:patternFill>
    </x:fill>
    <x:fill>
      <x:patternFill patternType="solid">
        <x:fgColor rgb="FFEAF0FC"/>
      </x:patternFill>
    </x:fill>
    <x:fill>
      <x:patternFill patternType="solid">
        <x:fgColor rgb="FFF8FAFF"/>
      </x:patternFill>
    </x:fill>
    <x:fill>
      <x:patternFill patternType="solid">
        <x:fgColor rgb="FFFFF7E6"/>
      </x:patternFill>
    </x:fill>
    <x:fill>
      <x:patternFill patternType="solid">
        <x:fgColor rgb="FF253B73"/>
      </x:patternFill>
    </x:fill>
    <x:fill>
      <x:patternFill patternType="solid">
        <x:fgColor rgb="FF3E5D9A"/>
      </x:patternFill>
    </x:fill>
    <x:fill>
      <x:patternFill patternType="solid">
        <x:fgColor rgb="FFF3F6FB"/>
      </x:patternFill>
    </x:fill>
    <x:fill>
      <x:patternFill patternType="solid">
        <x:fgColor rgb="FFE9EFF9"/>
      </x:patternFill>
    </x:fill>
    <x:fill>
      <x:patternFill patternType="solid">
        <x:fgColor rgb="FF0B1B55"/>
      </x:patternFill>
    </x:fill>
    <x:fill>
      <x:patternFill patternType="solid">
        <x:fgColor rgb="FFE8EEFC"/>
      </x:patternFill>
    </x:fill>
    <x:fill>
      <x:patternFill patternType="solid">
        <x:fgColor rgb="FFFFF4CC"/>
      </x:patternFill>
    </x:fill>
    <x:fill>
      <x:patternFill patternType="solid">
        <x:fgColor rgb="FFD9EAF7"/>
      </x:patternFill>
    </x:fill>
    <x:fill>
      <x:patternFill patternType="solid">
        <x:fgColor rgb="FFFFD9D9"/>
      </x:patternFill>
    </x:fill>
    <x:fill>
      <x:patternFill patternType="solid">
        <x:fgColor rgb="FFDDF5E5"/>
      </x:patternFill>
    </x:fill>
    <x:fill>
      <x:patternFill patternType="solid">
        <x:fgColor rgb="FF244D3B"/>
      </x:patternFill>
    </x:fill>
    <x:fill>
      <x:patternFill patternType="solid">
        <x:fgColor rgb="FF3D7557"/>
      </x:patternFill>
    </x:fill>
    <x:fill>
      <x:patternFill patternType="solid">
        <x:fgColor rgb="FFF5FAF6"/>
      </x:patternFill>
    </x:fill>
    <x:fill>
      <x:patternFill patternType="solid">
        <x:fgColor rgb="FF0B1B55"/>
      </x:patternFill>
    </x:fill>
    <x:fill>
      <x:patternFill patternType="solid">
        <x:fgColor rgb="FFEEF4FF"/>
      </x:patternFill>
    </x:fill>
    <x:fill>
      <x:patternFill patternType="solid">
        <x:fgColor rgb="FFD9E8FB"/>
      </x:patternFill>
    </x:fill>
    <x:fill>
      <x:patternFill patternType="solid">
        <x:fgColor rgb="FF2F559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46">
    <x:border/>
    <x:border>
      <x:left style="medium">
        <x:color rgb="FFB8C7EA"/>
      </x:left>
      <x:top style="medium">
        <x:color rgb="FFB8C7EA"/>
      </x:top>
    </x:border>
    <x:border>
      <x:top style="medium">
        <x:color rgb="FFB8C7EA"/>
      </x:top>
    </x:border>
    <x:border>
      <x:right style="medium">
        <x:color rgb="FFB8C7EA"/>
      </x:right>
      <x:top style="medium">
        <x:color rgb="FFB8C7EA"/>
      </x:top>
    </x:border>
    <x:border>
      <x:left style="medium">
        <x:color rgb="FFB8C7EA"/>
      </x:left>
      <x:bottom style="medium">
        <x:color rgb="FFB8C7EA"/>
      </x:bottom>
    </x:border>
    <x:border>
      <x:bottom style="medium">
        <x:color rgb="FFB8C7EA"/>
      </x:bottom>
    </x:border>
    <x:border>
      <x:right style="medium">
        <x:color rgb="FFB8C7EA"/>
      </x:right>
      <x:bottom style="medium">
        <x:color rgb="FFB8C7EA"/>
      </x:bottom>
    </x:border>
    <x:border>
      <x:left style="thin">
        <x:color rgb="FFB8C7EA"/>
      </x:left>
      <x:right style="thin">
        <x:color rgb="FFB8C7EA"/>
      </x:right>
      <x:top style="thin">
        <x:color rgb="FFB8C7EA"/>
      </x:top>
      <x:bottom style="thin">
        <x:color rgb="FFB8C7EA"/>
      </x:bottom>
    </x:border>
    <x:border>
      <x:left style="thin">
        <x:color rgb="FFD8E1FF"/>
      </x:left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left style="thin">
        <x:color rgb="FF9FB6FF"/>
      </x:left>
      <x:right style="thin">
        <x:color rgb="FF9FB6FF"/>
      </x:right>
      <x:top style="thin">
        <x:color rgb="FF9FB6FF"/>
      </x:top>
      <x:bottom style="thin">
        <x:color rgb="FF9FB6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8E1FF"/>
      </x:top>
    </x:border>
    <x:border>
      <x:right style="thin">
        <x:color rgb="FFD8E1FF"/>
      </x:right>
      <x:top style="thin">
        <x:color rgb="FFD8E1FF"/>
      </x:top>
    </x:border>
    <x:border>
      <x:top style="thin">
        <x:color rgb="FFD8E1FF"/>
      </x:top>
      <x:bottom style="thin">
        <x:color rgb="FFD8E1FF"/>
      </x:bottom>
    </x:border>
    <x:border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bottom style="thin">
        <x:color rgb="FFD9E2F3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CAD5EA"/>
      </x:left>
      <x:right style="thin">
        <x:color rgb="FFCAD5EA"/>
      </x:right>
      <x:top style="thin">
        <x:color rgb="FFCAD5EA"/>
      </x:top>
      <x:bottom style="thin">
        <x:color rgb="FFCAD5EA"/>
      </x:bottom>
    </x:border>
    <x:border>
      <x:top style="thin">
        <x:color rgb="FFCAD5EA"/>
      </x:top>
    </x:border>
    <x:border>
      <x:right style="thin">
        <x:color rgb="FFCAD5EA"/>
      </x:right>
      <x:top style="thin">
        <x:color rgb="FFCAD5EA"/>
      </x:top>
    </x:border>
    <x:border>
      <x:top style="thin">
        <x:color rgb="FFCAD5EA"/>
      </x:top>
      <x:bottom style="thin">
        <x:color rgb="FFCAD5EA"/>
      </x:bottom>
    </x:border>
    <x:border>
      <x:right style="thin">
        <x:color rgb="FFCAD5EA"/>
      </x:right>
      <x:top style="thin">
        <x:color rgb="FFCAD5EA"/>
      </x:top>
      <x:bottom style="thin">
        <x:color rgb="FFCAD5EA"/>
      </x:bottom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C8D3E8"/>
      </x:left>
      <x:right style="thin">
        <x:color rgb="FFC8D3E8"/>
      </x:right>
      <x:top style="thin">
        <x:color rgb="FFC8D3E8"/>
      </x:top>
      <x:bottom style="thin">
        <x:color rgb="FFC8D3E8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E6B94A"/>
      </x:left>
      <x:top style="thin">
        <x:color rgb="FFE6B94A"/>
      </x:top>
      <x:bottom style="thin">
        <x:color rgb="FFE6B94A"/>
      </x:bottom>
    </x:border>
    <x:border>
      <x:top style="thin">
        <x:color rgb="FFE6B94A"/>
      </x:top>
      <x:bottom style="thin">
        <x:color rgb="FFE6B94A"/>
      </x:bottom>
    </x:border>
    <x:border>
      <x:right style="thin">
        <x:color rgb="FFE6B94A"/>
      </x:right>
      <x:top style="thin">
        <x:color rgb="FFE6B94A"/>
      </x:top>
      <x:bottom style="thin">
        <x:color rgb="FFE6B94A"/>
      </x:bottom>
    </x:border>
    <x:border>
      <x:left style="thin">
        <x:color rgb="FFD7DFEE"/>
      </x:left>
      <x:right style="thin">
        <x:color rgb="FFD7DFEE"/>
      </x:right>
      <x:top style="thin">
        <x:color rgb="FFD7DFEE"/>
      </x:top>
      <x:bottom style="thin">
        <x:color rgb="FFD7DFEE"/>
      </x:bottom>
    </x:border>
    <x:border>
      <x:left style="thin">
        <x:color rgb="FFE6B94A"/>
      </x:left>
      <x:right style="thin">
        <x:color rgb="FFE6B94A"/>
      </x:right>
      <x:top style="thin">
        <x:color rgb="FFE6B94A"/>
      </x:top>
      <x:bottom style="thin">
        <x:color rgb="FFE6B94A"/>
      </x:bottom>
    </x:border>
    <x:border>
      <x:top style="thin">
        <x:color rgb="FFE6B94A"/>
      </x:top>
    </x:border>
    <x:border>
      <x:right style="thin">
        <x:color rgb="FFE6B94A"/>
      </x:right>
      <x:top style="thin">
        <x:color rgb="FFE6B94A"/>
      </x:top>
    </x:border>
    <x:border>
      <x:top style="thin">
        <x:color rgb="FF8FB69A"/>
      </x:top>
      <x:bottom style="thin">
        <x:color rgb="FF8FB69A"/>
      </x:bottom>
    </x:border>
    <x:border>
      <x:bottom style="thin">
        <x:color rgb="FFD4E4D8"/>
      </x:bottom>
    </x:border>
    <x:border>
      <x:bottom style="thin">
        <x:color rgb="FF8FB69A"/>
      </x:bottom>
    </x:border>
    <x:border>
      <x:left style="thin">
        <x:color rgb="FFB8C7EA"/>
      </x:left>
      <x:top style="thin">
        <x:color rgb="FFB8C7EA"/>
      </x:top>
      <x:bottom style="thin">
        <x:color rgb="FFB8C7EA"/>
      </x:bottom>
    </x:border>
    <x:border>
      <x:top style="thin">
        <x:color rgb="FFB8C7EA"/>
      </x:top>
      <x:bottom style="thin">
        <x:color rgb="FFB8C7EA"/>
      </x:bottom>
    </x:border>
    <x:border>
      <x:right style="thin">
        <x:color rgb="FFB8C7EA"/>
      </x:right>
      <x:top style="thin">
        <x:color rgb="FFB8C7EA"/>
      </x:top>
      <x:bottom style="thin">
        <x:color rgb="FFB8C7EA"/>
      </x:bottom>
    </x:border>
  </x:borders>
  <x:cellStyleXfs count="1">
    <x:xf numFmtId="0" fontId="0" fillId="0" borderId="0"/>
  </x:cellStyleXfs>
  <x:cellXfs count="239">
    <x:xf numFmtId="0" fontId="0" fillId="0" borderId="0" xfId="0"/>
    <x:xf numFmtId="0" fontId="1" fillId="0" borderId="1" xfId="0" applyAlignment="1">
      <x:alignment horizontal="left" vertical="center"/>
    </x:xf>
    <x:xf numFmtId="0" fontId="1" fillId="0" borderId="2" xfId="0" applyAlignment="1">
      <x:alignment horizontal="left" vertical="center"/>
    </x:xf>
    <x:xf numFmtId="0" fontId="1" fillId="0" borderId="3" xfId="0" applyAlignment="1">
      <x:alignment horizontal="left" vertical="center"/>
    </x:xf>
    <x:xf numFmtId="0" fontId="2" fillId="0" borderId="4" xfId="0" applyAlignment="1">
      <x:alignment horizontal="left" vertical="center"/>
    </x:xf>
    <x:xf numFmtId="0" fontId="2" fillId="0" borderId="5" xfId="0" applyAlignment="1">
      <x:alignment horizontal="left" vertical="center"/>
    </x:xf>
    <x:xf numFmtId="0" fontId="2" fillId="0" borderId="6" xfId="0" applyAlignment="1">
      <x:alignment horizontal="left" vertical="center"/>
    </x:xf>
    <x:xf numFmtId="0" fontId="3" fillId="0" borderId="0" xfId="0"/>
    <x:xf numFmtId="0" fontId="4" fillId="0" borderId="7" xfId="0" applyAlignment="1">
      <x:alignment horizontal="center" vertical="center" wrapText="1"/>
    </x:xf>
    <x:xf numFmtId="0" fontId="3" fillId="0" borderId="7" xfId="0" applyAlignment="1">
      <x:alignment vertical="center" wrapText="1"/>
    </x:xf>
    <x:xf numFmtId="0" fontId="0" fillId="0" borderId="8" xfId="0" applyAlignment="1">
      <x:alignment wrapText="1"/>
    </x:xf>
    <x:xf numFmtId="164" fontId="3" fillId="0" borderId="7" xfId="0" applyAlignment="1">
      <x:alignment vertical="center" wrapText="1"/>
    </x:xf>
    <x:xf numFmtId="0" fontId="5" fillId="0" borderId="0" xfId="0"/>
    <x:xf numFmtId="0" fontId="5" fillId="0" borderId="9" xfId="0"/>
    <x:xf numFmtId="0" fontId="1" fillId="0" borderId="1" xfId="0" applyAlignment="1">
      <x:alignment vertical="top" wrapText="1"/>
    </x:xf>
    <x:xf numFmtId="0" fontId="1" fillId="0" borderId="2" xfId="0" applyAlignment="1">
      <x:alignment vertical="top" wrapText="1"/>
    </x:xf>
    <x:xf numFmtId="0" fontId="1" fillId="0" borderId="3" xfId="0" applyAlignment="1">
      <x:alignment vertical="top" wrapText="1"/>
    </x:xf>
    <x:xf numFmtId="0" fontId="2" fillId="0" borderId="4" xfId="0" applyAlignment="1">
      <x:alignment vertical="top" wrapText="1"/>
    </x:xf>
    <x:xf numFmtId="0" fontId="2" fillId="0" borderId="5" xfId="0" applyAlignment="1">
      <x:alignment vertical="top" wrapText="1"/>
    </x:xf>
    <x:xf numFmtId="0" fontId="2" fillId="0" borderId="6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7" xfId="0" applyAlignment="1">
      <x:alignment vertical="top" wrapText="1"/>
    </x:xf>
    <x:xf numFmtId="0" fontId="3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0" xfId="0" applyAlignment="1">
      <x:alignment vertical="top" wrapText="1"/>
    </x:xf>
    <x:xf numFmtId="0" fontId="8" fillId="2" borderId="0" xfId="0" applyAlignment="1">
      <x:alignment horizontal="center" vertical="center"/>
    </x:xf>
    <x:xf numFmtId="0" fontId="0" fillId="5" borderId="0" xfId="0" applyAlignment="1">
      <x:alignment vertical="center" wrapText="1"/>
    </x:xf>
    <x:xf numFmtId="0" fontId="7" fillId="2" borderId="10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6" borderId="10" xfId="0" applyAlignment="1">
      <x:alignment vertical="top" wrapText="1"/>
    </x:xf>
    <x:xf numFmtId="0" fontId="0" fillId="7" borderId="10" xfId="0" applyAlignment="1">
      <x:alignment vertical="top" wrapText="1"/>
    </x:xf>
    <x:xf numFmtId="0" fontId="6" fillId="2" borderId="0" xfId="0"/>
    <x:xf numFmtId="0" fontId="0" fillId="4" borderId="10" xfId="0" applyAlignment="1">
      <x:alignment vertical="top" wrapText="1"/>
    </x:xf>
    <x:xf numFmtId="0" fontId="0" fillId="8" borderId="10" xfId="0" applyAlignment="1">
      <x:alignment vertical="top" wrapText="1"/>
    </x:xf>
    <x:xf numFmtId="164" fontId="0" fillId="0" borderId="10" xfId="0" applyAlignment="1">
      <x:alignment vertical="top" wrapText="1"/>
    </x:xf>
    <x:xf numFmtId="0" fontId="0" fillId="0" borderId="2" xfId="0"/>
    <x:xf numFmtId="0" fontId="0" fillId="3" borderId="10" xfId="0" applyAlignment="1">
      <x:alignment vertical="top" wrapText="1"/>
    </x:xf>
    <x:xf numFmtId="0" fontId="5" fillId="0" borderId="0" xfId="0" applyAlignment="1">
      <x:alignment vertical="top" wrapText="1"/>
    </x:xf>
    <x:xf numFmtId="0" fontId="5" fillId="0" borderId="9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3" xfId="0"/>
    <x:xf numFmtId="0" fontId="0" fillId="0" borderId="14" xfId="0"/>
    <x:xf numFmtId="0" fontId="9" fillId="2" borderId="0" xfId="0" applyAlignment="1">
      <x:alignment horizontal="center" vertical="center"/>
    </x:xf>
    <x:xf numFmtId="0" fontId="10" fillId="5" borderId="0" xfId="0" applyAlignment="1">
      <x:alignment vertical="center" wrapText="1"/>
    </x:xf>
    <x:xf numFmtId="0" fontId="11" fillId="2" borderId="15" xfId="0" applyAlignment="1">
      <x:alignment horizontal="center" vertical="center" wrapText="1"/>
    </x:xf>
    <x:xf numFmtId="0" fontId="12" fillId="0" borderId="15" xfId="0" applyAlignment="1">
      <x:alignment horizontal="left" vertical="top" wrapText="1"/>
    </x:xf>
    <x:xf numFmtId="0" fontId="12" fillId="0" borderId="15" xfId="0" applyAlignment="1">
      <x:alignment horizontal="center" vertical="top" wrapText="1"/>
    </x:xf>
    <x:xf numFmtId="165" fontId="12" fillId="0" borderId="15" xfId="0" applyAlignment="1">
      <x:alignment horizontal="right" vertical="top"/>
    </x:xf>
    <x:xf numFmtId="166" fontId="12" fillId="0" borderId="15" xfId="0" applyAlignment="1">
      <x:alignment horizontal="right" vertical="top"/>
    </x:xf>
    <x:xf numFmtId="2" fontId="12" fillId="0" borderId="15" xfId="0" applyAlignment="1">
      <x:alignment horizontal="right" vertical="top"/>
    </x:xf>
    <x:xf numFmtId="9" fontId="12" fillId="0" borderId="15" xfId="0" applyAlignment="1">
      <x:alignment horizontal="right" vertical="top"/>
    </x:xf>
    <x:xf numFmtId="0" fontId="13" fillId="16" borderId="0" xfId="0" applyAlignment="1">
      <x:alignment horizontal="left" vertical="center"/>
    </x:xf>
    <x:xf numFmtId="0" fontId="14" fillId="0" borderId="0" xfId="0" applyAlignment="1">
      <x:alignment vertical="top" wrapText="1"/>
    </x:xf>
    <x:xf numFmtId="0" fontId="15" fillId="15" borderId="16" xfId="0" applyAlignment="1">
      <x:alignment horizontal="center" vertical="center" wrapText="1"/>
    </x:xf>
    <x:xf numFmtId="0" fontId="0" fillId="0" borderId="16" xfId="0" applyAlignment="1">
      <x:alignment vertical="top" wrapText="1"/>
    </x:xf>
    <x:xf numFmtId="0" fontId="13" fillId="9" borderId="0" xfId="0" applyAlignment="1">
      <x:alignment horizontal="left" vertical="center"/>
    </x:xf>
    <x:xf numFmtId="0" fontId="15" fillId="10" borderId="16" xfId="0" applyAlignment="1">
      <x:alignment horizontal="center" vertical="center" wrapText="1"/>
    </x:xf>
    <x:xf numFmtId="0" fontId="13" fillId="11" borderId="0" xfId="0" applyAlignment="1">
      <x:alignment horizontal="left" vertical="center"/>
    </x:xf>
    <x:xf numFmtId="0" fontId="15" fillId="6" borderId="16" xfId="0" applyAlignment="1">
      <x:alignment horizontal="center" vertical="center" wrapText="1"/>
    </x:xf>
    <x:xf numFmtId="164" fontId="0" fillId="0" borderId="16" xfId="0" applyAlignment="1">
      <x:alignment vertical="top" wrapText="1"/>
    </x:xf>
    <x:xf numFmtId="0" fontId="13" fillId="12" borderId="0" xfId="0" applyAlignment="1">
      <x:alignment horizontal="left" vertical="center"/>
    </x:xf>
    <x:xf numFmtId="0" fontId="15" fillId="4" borderId="16" xfId="0" applyAlignment="1">
      <x:alignment horizontal="center" vertical="center" wrapText="1"/>
    </x:xf>
    <x:xf numFmtId="0" fontId="13" fillId="13" borderId="0" xfId="0" applyAlignment="1">
      <x:alignment horizontal="left" vertical="center"/>
    </x:xf>
    <x:xf numFmtId="0" fontId="13" fillId="14" borderId="0" xfId="0" applyAlignment="1">
      <x:alignment horizontal="left" vertical="center"/>
    </x:xf>
    <x:xf numFmtId="0" fontId="16" fillId="0" borderId="0" xfId="0"/>
    <x:xf numFmtId="0" fontId="13" fillId="17" borderId="0" xfId="0" applyAlignment="1">
      <x:alignment horizontal="left" vertical="center"/>
    </x:xf>
    <x:xf numFmtId="0" fontId="15" fillId="8" borderId="16" xfId="0" applyAlignment="1">
      <x:alignment horizontal="center" vertical="center" wrapText="1"/>
    </x:xf>
    <x:xf numFmtId="0" fontId="13" fillId="18" borderId="0" xfId="0" applyAlignment="1">
      <x:alignment horizontal="left" vertical="center"/>
    </x:xf>
    <x:xf numFmtId="0" fontId="15" fillId="19" borderId="16" xfId="0" applyAlignment="1">
      <x:alignment horizontal="center" vertical="center" wrapText="1"/>
    </x:xf>
    <x:xf numFmtId="0" fontId="0" fillId="10" borderId="17" xfId="0" applyAlignment="1">
      <x:alignment vertical="center" wrapText="1"/>
    </x:xf>
    <x:xf numFmtId="0" fontId="17" fillId="10" borderId="17" xfId="0" applyAlignment="1">
      <x:alignment vertical="center" wrapText="1"/>
    </x:xf>
    <x:xf numFmtId="0" fontId="0" fillId="0" borderId="17" xfId="0" applyAlignment="1">
      <x:alignment vertical="center" wrapText="1"/>
    </x:xf>
    <x:xf numFmtId="0" fontId="19" fillId="0" borderId="17" xfId="0" applyAlignment="1">
      <x:alignment vertical="center" wrapText="1"/>
    </x:xf>
    <x:xf numFmtId="0" fontId="19" fillId="9" borderId="17" xfId="0" applyAlignment="1">
      <x:alignment vertical="center" wrapText="1"/>
    </x:xf>
    <x:xf numFmtId="0" fontId="13" fillId="18" borderId="17" xfId="0" applyAlignment="1">
      <x:alignment vertical="center" wrapText="1"/>
    </x:xf>
    <x:xf numFmtId="0" fontId="19" fillId="19" borderId="17" xfId="0" applyAlignment="1">
      <x:alignment vertical="center" wrapText="1"/>
    </x:xf>
    <x:xf numFmtId="0" fontId="19" fillId="20" borderId="17" xfId="0" applyAlignment="1">
      <x:alignment vertical="center" wrapText="1"/>
    </x:xf>
    <x:xf numFmtId="0" fontId="19" fillId="6" borderId="17" xfId="0" applyAlignment="1">
      <x:alignment vertical="center" wrapText="1"/>
    </x:xf>
    <x:xf numFmtId="0" fontId="19" fillId="8" borderId="17" xfId="0" applyAlignment="1">
      <x:alignment vertical="center" wrapText="1"/>
    </x:xf>
    <x:xf numFmtId="0" fontId="0" fillId="0" borderId="20" xfId="0"/>
    <x:xf numFmtId="0" fontId="0" fillId="0" borderId="21" xfId="0"/>
    <x:xf numFmtId="0" fontId="0" fillId="10" borderId="17" xfId="0" applyAlignment="1">
      <x:alignment vertical="top" wrapText="1"/>
    </x:xf>
    <x:xf numFmtId="0" fontId="7" fillId="9" borderId="0" xfId="0" applyAlignment="1">
      <x:alignment vertical="top" wrapText="1"/>
    </x:xf>
    <x:xf numFmtId="0" fontId="13" fillId="18" borderId="17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19" fillId="0" borderId="17" xfId="0" applyAlignment="1">
      <x:alignment vertical="top" wrapText="1"/>
    </x:xf>
    <x:xf numFmtId="0" fontId="19" fillId="19" borderId="17" xfId="0" applyAlignment="1">
      <x:alignment vertical="top" wrapText="1"/>
    </x:xf>
    <x:xf numFmtId="0" fontId="20" fillId="21" borderId="0" xfId="0" applyAlignment="1">
      <x:alignment horizontal="center"/>
    </x:xf>
    <x:xf numFmtId="0" fontId="21" fillId="21" borderId="0" xfId="0" applyAlignment="1">
      <x:alignment wrapText="1"/>
    </x:xf>
    <x:xf numFmtId="0" fontId="22" fillId="22" borderId="22" xfId="0" applyAlignment="1">
      <x:alignment horizontal="center" vertical="center" wrapText="1"/>
    </x:xf>
    <x:xf numFmtId="0" fontId="0" fillId="23" borderId="22" xfId="0" applyAlignment="1">
      <x:alignment vertical="top" wrapText="1"/>
    </x:xf>
    <x:xf numFmtId="0" fontId="0" fillId="24" borderId="22" xfId="0" applyAlignment="1">
      <x:alignment vertical="top" wrapText="1"/>
    </x:xf>
    <x:xf numFmtId="0" fontId="0" fillId="0" borderId="22" xfId="0"/>
    <x:xf numFmtId="0" fontId="22" fillId="21" borderId="22" xfId="0"/>
    <x:xf numFmtId="0" fontId="22" fillId="22" borderId="22" xfId="0" applyAlignment="1">
      <x:alignment vertical="top" wrapText="1"/>
    </x:xf>
    <x:xf numFmtId="0" fontId="0" fillId="25" borderId="22" xfId="0" applyAlignment="1">
      <x:alignment vertical="top" wrapText="1"/>
    </x:xf>
    <x:xf numFmtId="0" fontId="0" fillId="26" borderId="22" xfId="0" applyAlignment="1">
      <x:alignment vertical="top" wrapText="1"/>
    </x:xf>
    <x:xf numFmtId="0" fontId="0" fillId="0" borderId="25" xfId="0"/>
    <x:xf numFmtId="0" fontId="0" fillId="0" borderId="26" xfId="0"/>
    <x:xf numFmtId="0" fontId="22" fillId="22" borderId="22" xfId="0" applyAlignment="1">
      <x:alignment horizontal="center" wrapText="1"/>
    </x:xf>
    <x:xf numFmtId="0" fontId="10" fillId="5" borderId="0" xfId="0" applyAlignment="1">
      <x:alignment horizontal="center" vertical="center"/>
    </x:xf>
    <x:xf numFmtId="0" fontId="15" fillId="8" borderId="16" xfId="0" applyAlignment="1">
      <x:alignment horizontal="center" vertical="center"/>
    </x:xf>
    <x:xf numFmtId="0" fontId="0" fillId="0" borderId="16" xfId="0" applyAlignment="1">
      <x:alignment horizontal="center" vertical="center" wrapText="1"/>
    </x:xf>
    <x:xf numFmtId="0" fontId="0" fillId="0" borderId="16" xfId="0" applyAlignment="1">
      <x:alignment vertical="center" wrapText="1"/>
    </x:xf>
    <x:xf numFmtId="0" fontId="14" fillId="0" borderId="0" xfId="0" applyAlignment="1">
      <x:alignment vertical="center" wrapText="1"/>
    </x:xf>
    <x:xf numFmtId="0" fontId="0" fillId="0" borderId="29" xfId="0"/>
    <x:xf numFmtId="0" fontId="0" fillId="0" borderId="30" xfId="0"/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0" fontId="0" fillId="27" borderId="0" xfId="0"/>
    <x:xf numFmtId="0" fontId="5" fillId="27" borderId="0" xfId="0"/>
    <x:xf numFmtId="0" fontId="5" fillId="27" borderId="0" xfId="0" applyAlignment="1">
      <x:alignment horizontal="center"/>
    </x:xf>
    <x:xf numFmtId="0" fontId="5" fillId="27" borderId="0" xfId="0" applyAlignment="1">
      <x:alignment horizontal="center" vertical="center"/>
    </x:xf>
    <x:xf numFmtId="0" fontId="0" fillId="28" borderId="0" xfId="0"/>
    <x:xf numFmtId="0" fontId="5" fillId="28" borderId="0" xfId="0"/>
    <x:xf numFmtId="0" fontId="5" fillId="28" borderId="31" xfId="0"/>
    <x:xf numFmtId="0" fontId="5" fillId="28" borderId="31" xfId="0" applyAlignment="1">
      <x:alignment wrapText="1"/>
    </x:xf>
    <x:xf numFmtId="0" fontId="5" fillId="28" borderId="31" xfId="0" applyAlignment="1">
      <x:alignment horizontal="center" wrapText="1"/>
    </x:xf>
    <x:xf numFmtId="0" fontId="5" fillId="28" borderId="31" xfId="0" applyAlignment="1">
      <x:alignment horizontal="center" vertical="center" wrapText="1"/>
    </x:xf>
    <x:xf numFmtId="0" fontId="23" fillId="0" borderId="0" xfId="0"/>
    <x:xf numFmtId="0" fontId="23" fillId="0" borderId="32" xfId="0"/>
    <x:xf numFmtId="0" fontId="23" fillId="0" borderId="32" xfId="0" applyAlignment="1">
      <x:alignment wrapText="1"/>
    </x:xf>
    <x:xf numFmtId="0" fontId="23" fillId="0" borderId="32" xfId="0" applyAlignment="1">
      <x:alignment vertical="top" wrapText="1"/>
    </x:xf>
    <x:xf numFmtId="0" fontId="23" fillId="29" borderId="32" xfId="0" applyAlignment="1">
      <x:alignment vertical="top" wrapText="1"/>
    </x:xf>
    <x:xf numFmtId="0" fontId="0" fillId="30" borderId="0" xfId="0"/>
    <x:xf numFmtId="0" fontId="24" fillId="30" borderId="0" xfId="0"/>
    <x:xf numFmtId="0" fontId="24" fillId="30" borderId="0" xfId="0" applyAlignment="1">
      <x:alignment wrapText="1"/>
    </x:xf>
    <x:xf numFmtId="0" fontId="24" fillId="30" borderId="0" xfId="0" applyAlignment="1">
      <x:alignment horizontal="left" wrapText="1"/>
    </x:xf>
    <x:xf numFmtId="0" fontId="24" fillId="30" borderId="0" xfId="0" applyAlignment="1">
      <x:alignment horizontal="left" vertical="center" wrapText="1"/>
    </x:xf>
    <x:xf numFmtId="0" fontId="25" fillId="0" borderId="32" xfId="0" applyAlignment="1">
      <x:alignment vertical="top" wrapText="1"/>
    </x:xf>
    <x:xf numFmtId="0" fontId="25" fillId="29" borderId="32" xfId="0" applyAlignment="1">
      <x:alignment vertical="top" wrapText="1"/>
    </x:xf>
    <x:xf numFmtId="0" fontId="0" fillId="0" borderId="0" xfId="0" applyAlignment="1">
      <x:alignment wrapText="1"/>
    </x:xf>
    <x:xf numFmtId="0" fontId="0" fillId="0" borderId="16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31" borderId="0" xfId="0"/>
    <x:xf numFmtId="0" fontId="26" fillId="31" borderId="0" xfId="0"/>
    <x:xf numFmtId="0" fontId="26" fillId="31" borderId="0" xfId="0" applyAlignment="1">
      <x:alignment horizontal="left"/>
    </x:xf>
    <x:xf numFmtId="0" fontId="26" fillId="31" borderId="0" xfId="0" applyAlignment="1">
      <x:alignment horizontal="left" vertical="center"/>
    </x:xf>
    <x:xf numFmtId="0" fontId="0" fillId="32" borderId="0" xfId="0"/>
    <x:xf numFmtId="0" fontId="27" fillId="32" borderId="0" xfId="0"/>
    <x:xf numFmtId="0" fontId="27" fillId="32" borderId="0" xfId="0" applyAlignment="1">
      <x:alignment horizontal="left"/>
    </x:xf>
    <x:xf numFmtId="0" fontId="27" fillId="32" borderId="0" xfId="0" applyAlignment="1">
      <x:alignment horizontal="left" vertical="center"/>
    </x:xf>
    <x:xf numFmtId="0" fontId="0" fillId="33" borderId="0" xfId="0"/>
    <x:xf numFmtId="0" fontId="28" fillId="33" borderId="0" xfId="0"/>
    <x:xf numFmtId="0" fontId="28" fillId="33" borderId="33" xfId="0"/>
    <x:xf numFmtId="0" fontId="28" fillId="33" borderId="34" xfId="0"/>
    <x:xf numFmtId="0" fontId="28" fillId="33" borderId="35" xfId="0"/>
    <x:xf numFmtId="0" fontId="28" fillId="33" borderId="33" xfId="0" applyAlignment="1">
      <x:alignment wrapText="1"/>
    </x:xf>
    <x:xf numFmtId="0" fontId="28" fillId="33" borderId="34" xfId="0" applyAlignment="1">
      <x:alignment wrapText="1"/>
    </x:xf>
    <x:xf numFmtId="0" fontId="28" fillId="33" borderId="35" xfId="0" applyAlignment="1">
      <x:alignment wrapText="1"/>
    </x:xf>
    <x:xf numFmtId="0" fontId="28" fillId="33" borderId="33" xfId="0" applyAlignment="1">
      <x:alignment vertical="center" wrapText="1"/>
    </x:xf>
    <x:xf numFmtId="0" fontId="28" fillId="33" borderId="34" xfId="0" applyAlignment="1">
      <x:alignment vertical="center" wrapText="1"/>
    </x:xf>
    <x:xf numFmtId="0" fontId="28" fillId="33" borderId="35" xfId="0" applyAlignment="1">
      <x:alignment vertical="center" wrapText="1"/>
    </x:xf>
    <x:xf numFmtId="0" fontId="0" fillId="34" borderId="0" xfId="0"/>
    <x:xf numFmtId="0" fontId="29" fillId="34" borderId="0" xfId="0"/>
    <x:xf numFmtId="0" fontId="29" fillId="34" borderId="7" xfId="0"/>
    <x:xf numFmtId="0" fontId="29" fillId="34" borderId="7" xfId="0" applyAlignment="1">
      <x:alignment wrapText="1"/>
    </x:xf>
    <x:xf numFmtId="0" fontId="29" fillId="34" borderId="7" xfId="0" applyAlignment="1">
      <x:alignment horizontal="center" wrapText="1"/>
    </x:xf>
    <x:xf numFmtId="0" fontId="29" fillId="34" borderId="7" xfId="0" applyAlignment="1">
      <x:alignment horizontal="center" vertical="center" wrapText="1"/>
    </x:xf>
    <x:xf numFmtId="0" fontId="30" fillId="0" borderId="0" xfId="0"/>
    <x:xf numFmtId="0" fontId="30" fillId="0" borderId="36" xfId="0"/>
    <x:xf numFmtId="0" fontId="30" fillId="0" borderId="36" xfId="0" applyAlignment="1">
      <x:alignment wrapText="1"/>
    </x:xf>
    <x:xf numFmtId="0" fontId="30" fillId="0" borderId="36" xfId="0" applyAlignment="1">
      <x:alignment vertical="center" wrapText="1"/>
    </x:xf>
    <x:xf numFmtId="0" fontId="30" fillId="0" borderId="36" xfId="0" applyAlignment="1">
      <x:alignment horizontal="center" vertical="center" wrapText="1"/>
    </x:xf>
    <x:xf numFmtId="0" fontId="30" fillId="0" borderId="36" xfId="0" applyAlignment="1">
      <x:alignment horizontal="right" vertical="center" wrapText="1"/>
    </x:xf>
    <x:xf numFmtId="167" fontId="30" fillId="0" borderId="36" xfId="0" applyAlignment="1">
      <x:alignment horizontal="right" vertical="center" wrapText="1"/>
    </x:xf>
    <x:xf numFmtId="168" fontId="30" fillId="0" borderId="36" xfId="0" applyAlignment="1">
      <x:alignment horizontal="right" vertical="center" wrapText="1"/>
    </x:xf>
    <x:xf numFmtId="1" fontId="30" fillId="0" borderId="36" xfId="0" applyAlignment="1">
      <x:alignment horizontal="right" vertical="center" wrapText="1"/>
    </x:xf>
    <x:xf numFmtId="0" fontId="30" fillId="33" borderId="36" xfId="0" applyAlignment="1">
      <x:alignment horizontal="center" vertical="center" wrapText="1"/>
    </x:xf>
    <x:xf numFmtId="167" fontId="30" fillId="33" borderId="36" xfId="0" applyAlignment="1">
      <x:alignment horizontal="right" vertical="center" wrapText="1"/>
    </x:xf>
    <x:xf numFmtId="0" fontId="30" fillId="33" borderId="36" xfId="0" applyAlignment="1">
      <x:alignment vertical="center" wrapText="1"/>
    </x:xf>
    <x:xf numFmtId="0" fontId="30" fillId="35" borderId="36" xfId="0" applyAlignment="1">
      <x:alignment horizontal="center" vertical="center" wrapText="1"/>
    </x:xf>
    <x:xf numFmtId="167" fontId="30" fillId="35" borderId="36" xfId="0" applyAlignment="1">
      <x:alignment horizontal="right" vertical="center" wrapText="1"/>
    </x:xf>
    <x:xf numFmtId="0" fontId="30" fillId="35" borderId="36" xfId="0" applyAlignment="1">
      <x:alignment vertical="center" wrapText="1"/>
    </x:xf>
    <x:xf numFmtId="0" fontId="30" fillId="36" borderId="36" xfId="0" applyAlignment="1">
      <x:alignment horizontal="center" vertical="center" wrapText="1"/>
    </x:xf>
    <x:xf numFmtId="167" fontId="30" fillId="36" borderId="36" xfId="0" applyAlignment="1">
      <x:alignment horizontal="right" vertical="center" wrapText="1"/>
    </x:xf>
    <x:xf numFmtId="0" fontId="30" fillId="36" borderId="36" xfId="0" applyAlignment="1">
      <x:alignment vertical="center" wrapText="1"/>
    </x:xf>
    <x:xf numFmtId="0" fontId="30" fillId="0" borderId="7" xfId="0"/>
    <x:xf numFmtId="0" fontId="30" fillId="0" borderId="7" xfId="0" applyAlignment="1">
      <x:alignment wrapText="1"/>
    </x:xf>
    <x:xf numFmtId="0" fontId="30" fillId="0" borderId="7" xfId="0" applyAlignment="1">
      <x:alignment vertical="center" wrapText="1"/>
    </x:xf>
    <x:xf numFmtId="167" fontId="30" fillId="33" borderId="36" xfId="0" applyAlignment="1">
      <x:alignment horizontal="right" vertical="center" wrapText="1"/>
    </x:xf>
    <x:xf numFmtId="167" fontId="30" fillId="35" borderId="36" xfId="0" applyAlignment="1">
      <x:alignment horizontal="right" vertical="center" wrapText="1"/>
    </x:xf>
    <x:xf numFmtId="167" fontId="30" fillId="36" borderId="36" xfId="0" applyAlignment="1">
      <x:alignment horizontal="right" vertical="center" wrapText="1"/>
    </x:xf>
    <x:xf numFmtId="168" fontId="30" fillId="0" borderId="36" xfId="0" applyAlignment="1">
      <x:alignment horizontal="right" vertical="center" wrapText="1"/>
    </x:xf>
    <x:xf numFmtId="1" fontId="30" fillId="0" borderId="36" xfId="0" applyAlignment="1">
      <x:alignment horizontal="right" vertical="center" wrapText="1"/>
    </x:xf>
    <x:xf numFmtId="0" fontId="28" fillId="33" borderId="37" xfId="0" applyAlignment="1">
      <x:alignment vertical="center" wrapText="1"/>
    </x:xf>
    <x:xf numFmtId="0" fontId="0" fillId="0" borderId="34" xfId="0"/>
    <x:xf numFmtId="0" fontId="0" fillId="0" borderId="35" xfId="0"/>
    <x:xf numFmtId="0" fontId="31" fillId="37" borderId="0" xfId="0" applyAlignment="1">
      <x:alignment horizontal="left" vertical="center"/>
    </x:xf>
    <x:xf numFmtId="0" fontId="32" fillId="38" borderId="40" xfId="0" applyAlignment="1">
      <x:alignment horizontal="center" vertical="center" wrapText="1"/>
    </x:xf>
    <x:xf numFmtId="0" fontId="33" fillId="39" borderId="41" xfId="0" applyAlignment="1">
      <x:alignment horizontal="left" vertical="center" wrapText="1"/>
    </x:xf>
    <x:xf numFmtId="0" fontId="34" fillId="39" borderId="41" xfId="0" applyAlignment="1">
      <x:alignment horizontal="left" vertical="center" wrapText="1"/>
    </x:xf>
    <x:xf numFmtId="0" fontId="34" fillId="39" borderId="41" xfId="0" applyAlignment="1">
      <x:alignment horizontal="center" vertical="center" wrapText="1"/>
    </x:xf>
    <x:xf numFmtId="0" fontId="33" fillId="39" borderId="42" xfId="0" applyAlignment="1">
      <x:alignment horizontal="left" vertical="center" wrapText="1"/>
    </x:xf>
    <x:xf numFmtId="0" fontId="34" fillId="39" borderId="42" xfId="0" applyAlignment="1">
      <x:alignment horizontal="left" vertical="center" wrapText="1"/>
    </x:xf>
    <x:xf numFmtId="0" fontId="34" fillId="39" borderId="42" xfId="0" applyAlignment="1">
      <x:alignment horizontal="center" vertical="center" wrapText="1"/>
    </x:xf>
    <x:xf numFmtId="0" fontId="0" fillId="40" borderId="0" xfId="0" applyNumberFormat="1" applyFont="1" applyFill="1" applyBorder="1"/>
    <x:xf numFmtId="0" fontId="35" fillId="40" borderId="0" xfId="0" applyNumberFormat="1" applyFont="1" applyFill="1" applyBorder="1"/>
    <x:xf numFmtId="0" fontId="35" fillId="40" borderId="0" xfId="0" applyNumberFormat="1" applyFont="1" applyFill="1" applyBorder="1" applyAlignment="1">
      <x:alignment horizontal="center"/>
    </x:xf>
    <x:xf numFmtId="0" fontId="35" fillId="40" borderId="0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41" borderId="0" xfId="0" applyNumberFormat="1" applyFont="1" applyFill="1" applyBorder="1" applyAlignment="1">
      <x:alignment wrapText="1"/>
    </x:xf>
    <x:xf numFmtId="0" fontId="2" fillId="41" borderId="0" xfId="0" applyNumberFormat="1" applyFont="1" applyFill="1" applyBorder="1" applyAlignment="1">
      <x:alignment horizontal="left" wrapText="1"/>
    </x:xf>
    <x:xf numFmtId="0" fontId="2" fillId="41" borderId="0" xfId="0" applyNumberFormat="1" applyFont="1" applyFill="1" applyBorder="1" applyAlignment="1">
      <x:alignment horizontal="left" vertical="center" wrapText="1"/>
    </x:xf>
    <x:xf numFmtId="0" fontId="0" fillId="42" borderId="0" xfId="0" applyNumberFormat="1" applyFont="1" applyFill="1" applyBorder="1"/>
    <x:xf numFmtId="0" fontId="36" fillId="42" borderId="0" xfId="0" applyNumberFormat="1" applyFont="1" applyFill="1" applyBorder="1"/>
    <x:xf numFmtId="0" fontId="36" fillId="42" borderId="43" xfId="0" applyNumberFormat="1" applyFont="1" applyFill="1" applyBorder="1"/>
    <x:xf numFmtId="0" fontId="36" fillId="42" borderId="44" xfId="0" applyNumberFormat="1" applyFont="1" applyFill="1" applyBorder="1"/>
    <x:xf numFmtId="0" fontId="36" fillId="42" borderId="45" xfId="0" applyNumberFormat="1" applyFont="1" applyFill="1" applyBorder="1"/>
    <x:xf numFmtId="0" fontId="36" fillId="42" borderId="43" xfId="0" applyNumberFormat="1" applyFont="1" applyFill="1" applyBorder="1" applyAlignment="1">
      <x:alignment vertical="center"/>
    </x:xf>
    <x:xf numFmtId="0" fontId="36" fillId="42" borderId="44" xfId="0" applyNumberFormat="1" applyFont="1" applyFill="1" applyBorder="1" applyAlignment="1">
      <x:alignment vertical="center"/>
    </x:xf>
    <x:xf numFmtId="0" fontId="36" fillId="42" borderId="45" xfId="0" applyNumberFormat="1" applyFont="1" applyFill="1" applyBorder="1" applyAlignment="1">
      <x:alignment vertical="center"/>
    </x:xf>
    <x:xf numFmtId="0" fontId="0" fillId="43" borderId="0" xfId="0" applyNumberFormat="1" applyFont="1" applyFill="1" applyBorder="1"/>
    <x:xf numFmtId="0" fontId="11" fillId="43" borderId="0" xfId="0" applyNumberFormat="1" applyFont="1" applyFill="1" applyBorder="1"/>
    <x:xf numFmtId="0" fontId="11" fillId="43" borderId="7" xfId="0" applyNumberFormat="1" applyFont="1" applyFill="1" applyBorder="1"/>
    <x:xf numFmtId="0" fontId="11" fillId="43" borderId="7" xfId="0" applyNumberFormat="1" applyFont="1" applyFill="1" applyBorder="1" applyAlignment="1">
      <x:alignment wrapText="1"/>
    </x:xf>
    <x:xf numFmtId="0" fontId="11" fillId="43" borderId="7" xfId="0" applyNumberFormat="1" applyFont="1" applyFill="1" applyBorder="1" applyAlignment="1">
      <x:alignment horizontal="center" wrapText="1"/>
    </x:xf>
    <x:xf numFmtId="0" fontId="11" fillId="43" borderId="7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/>
    <x:xf numFmtId="0" fontId="12" fillId="44" borderId="0" xfId="0" applyNumberFormat="1" applyFont="1" applyFill="1" applyBorder="1"/>
    <x:xf numFmtId="0" fontId="12" fillId="44" borderId="7" xfId="0" applyNumberFormat="1" applyFont="1" applyFill="1" applyBorder="1"/>
    <x:xf numFmtId="0" fontId="12" fillId="44" borderId="7" xfId="0" applyNumberFormat="1" applyFont="1" applyFill="1" applyBorder="1" applyAlignment="1">
      <x:alignment wrapText="1"/>
    </x:xf>
    <x:xf numFmtId="0" fontId="12" fillId="44" borderId="7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/>
    <x:xf numFmtId="0" fontId="37" fillId="45" borderId="0" xfId="0" applyNumberFormat="1" applyFont="1" applyFill="1" applyBorder="1"/>
    <x:xf numFmtId="0" fontId="37" fillId="45" borderId="7" xfId="0" applyNumberFormat="1" applyFont="1" applyFill="1" applyBorder="1"/>
    <x:xf numFmtId="0" fontId="37" fillId="45" borderId="7" xfId="0" applyNumberFormat="1" applyFont="1" applyFill="1" applyBorder="1" applyAlignment="1">
      <x:alignment horizontal="center"/>
    </x:xf>
    <x:xf numFmtId="0" fontId="37" fillId="45" borderId="7" xfId="0" applyNumberFormat="1" applyFont="1" applyFill="1" applyBorder="1" applyAlignment="1">
      <x:alignment horizontal="center" vertical="center"/>
    </x:xf>
    <x:xf numFmtId="164" fontId="12" fillId="44" borderId="7" xfId="0" applyNumberFormat="1" applyFont="1" applyFill="1" applyBorder="1" applyAlignment="1">
      <x:alignment vertical="center" wrapText="1"/>
    </x:xf>
    <x:xf numFmtId="200" fontId="12" fillId="44" borderId="7" xfId="0" applyNumberFormat="1" applyFont="1" applyFill="1" applyBorder="1" applyAlignment="1">
      <x:alignment vertical="center" wrapText="1"/>
    </x:xf>
    <x:xf numFmtId="201" fontId="12" fillId="44" borderId="7" xfId="0" applyNumberFormat="1" applyFont="1" applyFill="1" applyBorder="1" applyAlignment="1">
      <x:alignment vertical="center" wrapText="1"/>
    </x:xf>
    <x:xf numFmtId="202" fontId="12" fillId="44" borderId="7" xfId="0" applyNumberFormat="1" applyFont="1" applyFill="1" applyBorder="1" applyAlignment="1">
      <x:alignment vertical="center" wrapText="1"/>
    </x:xf>
    <x:xf numFmtId="0" fontId="0" fillId="46" borderId="8" xfId="0" applyNumberFormat="1" applyFont="1" applyFill="1" applyBorder="1" applyAlignment="1">
      <x:alignment wrapText="1"/>
    </x:xf>
    <x:xf numFmtId="0" fontId="30" fillId="41" borderId="36" xfId="0" applyNumberFormat="1" applyFont="1" applyFill="1" applyBorder="1" applyAlignment="1">
      <x:alignment vertical="center" wrapText="1"/>
    </x:xf>
    <x:xf numFmtId="0" fontId="30" fillId="41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0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6e7cab9944d37" /><Relationship Type="http://schemas.openxmlformats.org/officeDocument/2006/relationships/theme" Target="/xl/theme/theme1.xml" Id="Re8b84f1071674095" /><Relationship Type="http://schemas.openxmlformats.org/officeDocument/2006/relationships/sharedStrings" Target="/xl/sharedStrings.xml" Id="Rf04397c103764eb8" /><Relationship Type="http://schemas.openxmlformats.org/officeDocument/2006/relationships/worksheet" Target="/xl/worksheets/sheet1.xml" Id="Rdb0ec49e349d4597" /><Relationship Type="http://schemas.openxmlformats.org/officeDocument/2006/relationships/worksheet" Target="/xl/worksheets/sheet2.xml" Id="R36678bf0ca834bb7" /><Relationship Type="http://schemas.openxmlformats.org/officeDocument/2006/relationships/worksheet" Target="/xl/worksheets/sheet3.xml" Id="R1daa6c89c97349f9" /><Relationship Type="http://schemas.openxmlformats.org/officeDocument/2006/relationships/worksheet" Target="/xl/worksheets/sheet4.xml" Id="Rd0bdafae4ccf47a4" /><Relationship Type="http://schemas.openxmlformats.org/officeDocument/2006/relationships/worksheet" Target="/xl/worksheets/sheet5.xml" Id="R32d8995cb5c7447e" /><Relationship Type="http://schemas.openxmlformats.org/officeDocument/2006/relationships/worksheet" Target="/xl/worksheets/sheet6.xml" Id="Rdeb8dc8c38ce4f1d" /><Relationship Type="http://schemas.openxmlformats.org/officeDocument/2006/relationships/worksheet" Target="/xl/worksheets/sheet7.xml" Id="Rf58e68f56c294189" /><Relationship Type="http://schemas.openxmlformats.org/officeDocument/2006/relationships/worksheet" Target="/xl/worksheets/sheet8.xml" Id="R1b59cca7b87a4ff0" /><Relationship Type="http://schemas.openxmlformats.org/officeDocument/2006/relationships/worksheet" Target="/xl/worksheets/sheet9.xml" Id="R28d4540226a540cc" /><Relationship Type="http://schemas.openxmlformats.org/officeDocument/2006/relationships/worksheet" Target="/xl/worksheets/sheet10.xml" Id="Re62e1599b3b645cd" /><Relationship Type="http://schemas.openxmlformats.org/officeDocument/2006/relationships/worksheet" Target="/xl/worksheets/sheet11.xml" Id="R456116c1400e4acf" /><Relationship Type="http://schemas.openxmlformats.org/officeDocument/2006/relationships/worksheet" Target="/xl/worksheets/sheet12.xml" Id="Ra890d27b1a90418e" /><Relationship Type="http://schemas.openxmlformats.org/officeDocument/2006/relationships/worksheet" Target="/xl/worksheets/sheet13.xml" Id="R584ab8d2a26244b4" /><Relationship Type="http://schemas.openxmlformats.org/officeDocument/2006/relationships/worksheet" Target="/xl/worksheets/sheet14.xml" Id="R5a8bc375bc9d4db3" /><Relationship Type="http://schemas.openxmlformats.org/officeDocument/2006/relationships/worksheet" Target="/xl/worksheets/sheet15.xml" Id="R4f4bd19e36b346d5" /><Relationship Type="http://schemas.openxmlformats.org/officeDocument/2006/relationships/worksheet" Target="/xl/worksheets/sheet16.xml" Id="R7fa14a63bd9d400f" /><Relationship Type="http://schemas.openxmlformats.org/officeDocument/2006/relationships/worksheet" Target="/xl/worksheets/sheet17.xml" Id="R198678bd0cc4473e" /><Relationship Type="http://schemas.openxmlformats.org/officeDocument/2006/relationships/worksheet" Target="/xl/worksheets/sheet18.xml" Id="Rc333f360f38c4c0d" /><Relationship Type="http://schemas.openxmlformats.org/officeDocument/2006/relationships/worksheet" Target="/xl/worksheets/sheet19.xml" Id="R8718602255c14edd" /><Relationship Type="http://schemas.openxmlformats.org/officeDocument/2006/relationships/worksheet" Target="/xl/worksheets/sheet20.xml" Id="Rd1eb04d8ee0a400a" /><Relationship Type="http://schemas.openxmlformats.org/officeDocument/2006/relationships/worksheet" Target="/xl/worksheets/sheet21.xml" Id="R2346e515bd574e11" /><Relationship Type="http://schemas.openxmlformats.org/officeDocument/2006/relationships/worksheet" Target="/xl/worksheets/sheet22.xml" Id="Rb72061f1201c4a30" /><Relationship Type="http://schemas.openxmlformats.org/officeDocument/2006/relationships/worksheet" Target="/xl/worksheets/sheet23.xml" Id="Re0ee7ab60af54e14" /><Relationship Type="http://schemas.openxmlformats.org/officeDocument/2006/relationships/worksheet" Target="/xl/worksheets/sheet24.xml" Id="Rcb468694aa9043a9" /><Relationship Type="http://schemas.openxmlformats.org/officeDocument/2006/relationships/worksheet" Target="/xl/worksheets/sheet25.xml" Id="R5f7a5b4f8e1b4f69" /><Relationship Type="http://schemas.openxmlformats.org/officeDocument/2006/relationships/worksheet" Target="/xl/worksheets/sheet26.xml" Id="Rc822185418894759" /><Relationship Type="http://schemas.openxmlformats.org/officeDocument/2006/relationships/worksheet" Target="/xl/worksheets/sheet27.xml" Id="Refa52fbb84c848a6" /><Relationship Type="http://schemas.openxmlformats.org/officeDocument/2006/relationships/worksheet" Target="/xl/worksheets/sheet28.xml" Id="R07d07aaf05494bd4" /><Relationship Type="http://schemas.openxmlformats.org/officeDocument/2006/relationships/worksheet" Target="/xl/worksheets/sheet29.xml" Id="R57820f6c2ab34d8d" /><Relationship Type="http://schemas.openxmlformats.org/officeDocument/2006/relationships/worksheet" Target="/xl/worksheets/sheet30.xml" Id="R306f4d1ef5444f32" /><Relationship Type="http://schemas.openxmlformats.org/officeDocument/2006/relationships/worksheet" Target="/xl/worksheets/sheet31.xml" Id="Rc0b6e5f550364980" /><Relationship Type="http://schemas.openxmlformats.org/officeDocument/2006/relationships/worksheet" Target="/xl/worksheets/sheet32.xml" Id="R15801704959e4416" /><Relationship Type="http://schemas.openxmlformats.org/officeDocument/2006/relationships/worksheet" Target="/xl/worksheets/sheet33.xml" Id="Rec41b28205124b02" /><Relationship Type="http://schemas.openxmlformats.org/officeDocument/2006/relationships/worksheet" Target="/xl/worksheets/sheet34.xml" Id="Rd724fc5b6bf94100" /></Relationships>
</file>

<file path=xl/tables/table1.xml><?xml version="1.0" encoding="utf-8"?>
<x:table xmlns:x="http://schemas.openxmlformats.org/spreadsheetml/2006/main" id="1" name="SummaryTable" displayName="SummaryTable" ref="A4:D11" headerRowCount="1" totalsRowCount="0">
  <x:autoFilter ref="A4:D11"/>
  <x:tableColumns count="4">
    <x:tableColumn id="1" name="구분"/>
    <x:tableColumn id="2" name="결정 내용"/>
    <x:tableColumn id="3" name="관리 위치"/>
    <x:tableColumn id="4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eTable" displayName="GradeTable" ref="A4:F10" headerRowCount="1">
  <x:autoFilter ref="A4:F10"/>
  <x:tableColumns count="6">
    <x:tableColumn id="1" name="코드"/>
    <x:tableColumn id="2" name="표시명"/>
    <x:tableColumn id="3" name="역할"/>
    <x:tableColumn id="4" name="기본 뽑기 확률"/>
    <x:tableColumn id="5" name="진행 기준"/>
    <x:tableColumn id="6" name="주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KeyTable" displayName="EventKeyTable" ref="A4:E11" headerRowCount="1">
  <x:autoFilter ref="A4:E11"/>
  <x:tableColumns count="5">
    <x:tableColumn id="1" name="상황"/>
    <x:tableColumn id="2" name="이벤트 키"/>
    <x:tableColumn id="3" name="적용 타이밍"/>
    <x:tableColumn id="4" name="사용 대상"/>
    <x:tableColumn id="5" name="주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gameTable" displayName="OutgameTable" ref="A4:D15" headerRowCount="1">
  <x:autoFilter ref="A4:D15"/>
  <x:tableColumns count="4">
    <x:tableColumn id="1" name="항목"/>
    <x:tableColumn id="2" name="서비스 값"/>
    <x:tableColumn id="3" name="테스트 값/비고"/>
    <x:tableColumn id="4" name="관리 위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lanceTargetTable" displayName="BalanceTargetTable" ref="A4:E14" headerRowCount="1">
  <x:autoFilter ref="A4:E14"/>
  <x:tableColumns count="5">
    <x:tableColumn id="1" name="구간/유저"/>
    <x:tableColumn id="2" name="목표 시간"/>
    <x:tableColumn id="3" name="요구 성장 기준"/>
    <x:tableColumn id="4" name="플레이 감각"/>
    <x:tableColumn id="5" name="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LocationTable" displayName="ConfigLocationTable" ref="A4:D11" headerRowCount="1">
  <x:autoFilter ref="A4:D11"/>
  <x:tableColumns count="4">
    <x:tableColumn id="1" name="분야"/>
    <x:tableColumn id="2" name="파일"/>
    <x:tableColumn id="3" name="섹션/클래스"/>
    <x:tableColumn id="4" name="주요 조절 항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ISoundTable" displayName="UISoundTable" ref="A4:D14" headerRowCount="1">
  <x:autoFilter ref="A4:D14"/>
  <x:tableColumns count="4">
    <x:tableColumn id="1" name="분야"/>
    <x:tableColumn id="2" name="결정"/>
    <x:tableColumn id="3" name="리소스/값"/>
    <x:tableColumn id="4" name="메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ndingTable" displayName="PendingTable" ref="A4:D9" headerRowCount="1">
  <x:autoFilter ref="A4:D9"/>
  <x:tableColumns count="4">
    <x:tableColumn id="1" name="항목"/>
    <x:tableColumn id="2" name="현재 상태"/>
    <x:tableColumn id="3" name="다음 액션"/>
    <x:tableColumn id="4" name="우선순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onsterCombatSkillTable" displayName="MonsterCombatSkillTable" ref="A4:X18" headerRowCount="1">
  <x:autoFilter ref="A4:X16"/>
  <x:tableColumns count="24">
    <x:tableColumn id="1" name="구분"/>
    <x:tableColumn id="2" name="몬스터 ID"/>
    <x:tableColumn id="3" name="프리팹"/>
    <x:tableColumn id="4" name="역할"/>
    <x:tableColumn id="5" name="첫 등장 R"/>
    <x:tableColumn id="6" name="공격 타입"/>
    <x:tableColumn id="7" name="사거리(m)"/>
    <x:tableColumn id="8" name="HP(Lv1)"/>
    <x:tableColumn id="9" name="ATK/평타피해(Lv1)"/>
    <x:tableColumn id="10" name="공격속도"/>
    <x:tableColumn id="11" name="이동속도"/>
    <x:tableColumn id="12" name="평타 이벤트"/>
    <x:tableColumn id="13" name="투사체/속도"/>
    <x:tableColumn id="14" name="평타 FX(발사/타격)"/>
    <x:tableColumn id="15" name="스킬 슬롯"/>
    <x:tableColumn id="16" name="스킬명"/>
    <x:tableColumn id="17" name="효과 타입"/>
    <x:tableColumn id="18" name="효과 설명"/>
    <x:tableColumn id="19" name="핵심 수치"/>
    <x:tableColumn id="20" name="계수"/>
    <x:tableColumn id="21" name="스킬 피해(Lv1)"/>
    <x:tableColumn id="22" name="대상/지속/범위"/>
    <x:tableColumn id="23" name="마나/쿨다운"/>
    <x:tableColumn id="24" name="스킬 이벤트/F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mmercialHurdleTable" displayName="CommercialHurdleTable" ref="A4:H16" headerRowCount="1" totalsRowCount="0" totalsRowShown="0">
  <x:tableColumns count="8">
    <x:tableColumn id="1" name="라운드"/>
    <x:tableColumn id="2" name="단계"/>
    <x:tableColumn id="3" name="일반 HP"/>
    <x:tableColumn id="4" name="보스 HP"/>
    <x:tableColumn id="5" name="공격력"/>
    <x:tableColumn id="6" name="수량"/>
    <x:tableColumn id="7" name="스폰 간격"/>
    <x:tableColumn id="8" name="의도 / 플레이 감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mmercialChestEconomyTable" displayName="CommercialChestEconomyTable" ref="A18:E29" headerRowCount="1" totalsRowCount="0" totalsRowShown="0">
  <x:tableColumns count="5">
    <x:tableColumn id="1" name="구분"/>
    <x:tableColumn id="2" name="무료 플레이 상자"/>
    <x:tableColumn id="3" name="프리미엄 상자"/>
    <x:tableColumn id="4" name="서비스 원칙"/>
    <x:tableColumn id="5" name="코드 / 설정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mmercialFirstProgressTable" displayName="CommercialFirstProgressTable" ref="A31:H51" headerRowCount="1" totalsRowCount="0" totalsRowShown="0">
  <x:tableColumns count="8">
    <x:tableColumn id="1" name="첫 진행 예시"/>
    <x:tableColumn id="2" name="기본 진행도"/>
    <x:tableColumn id="3" name="보스 보너스"/>
    <x:tableColumn id="4" name="첫 허들 보너스"/>
    <x:tableColumn id="5" name="합계"/>
    <x:tableColumn id="6" name="누적"/>
    <x:tableColumn id="7" name="상자 획득"/>
    <x:tableColumn id="8" name="잔여 게이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19ce9e236f41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ff0f3866db46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af58ffdb9c645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d92227e78b84d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04f72fb2b3240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ba362aa074e4d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91bbb8865034c4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6e67a14ef6d476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8669313110fb405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0.xml" Id="R8721ce335a31490a" /><Relationship Type="http://schemas.openxmlformats.org/officeDocument/2006/relationships/table" Target="/xl/tables/table11.xml" Id="R643f43e1bea24b76" /><Relationship Type="http://schemas.openxmlformats.org/officeDocument/2006/relationships/table" Target="/xl/tables/table12.xml" Id="R2824743c9ec547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54" customWidth="1"/>
    <x:col min="3" max="3" width="42" customWidth="1"/>
    <x:col min="4" max="4" width="34" customWidth="1"/>
  </x:cols>
  <x:sheetData>
    <x:row r="1" ht="30" customHeight="1">
      <x:c r="A1" s="14" t="inlineStr">
        <x:is>
          <x:t xml:space="preserve">DefenseGame 설계 결정 요약</x:t>
        </x:is>
      </x:c>
      <x:c r="B1" s="15" t="n"/>
      <x:c r="C1" s="15" t="n"/>
      <x:c r="D1" s="16" t="n"/>
    </x:row>
    <x:row r="2" ht="22" customHeight="1">
      <x:c r="A2" s="17" t="str">
        <x:v>작성일 2026-06-05 / 최신 업데이트 2026-08-06 / 서비스형 보유 유닛 소환·얏찌 티켓/배수 상자·신규 유닛 가중치 제작 명세 동기화</x:v>
      </x:c>
      <x:c r="B2" s="18" t="inlineStr">
        <x:is>
          <x:t xml:space="preserve"/>
        </x:is>
      </x:c>
      <x:c r="C2" s="18" t="inlineStr">
        <x:is>
          <x:t xml:space="preserve"/>
        </x:is>
      </x:c>
      <x:c r="D2" s="19" t="inlineStr">
        <x:is>
          <x:t xml:space="preserve"/>
        </x:is>
      </x:c>
    </x:row>
    <x:row r="3">
      <x:c r="A3" s="20" t="n"/>
      <x:c r="B3" s="20" t="n"/>
      <x:c r="C3" s="20" t="n"/>
      <x:c r="D3" s="20" t="n"/>
    </x:row>
    <x:row r="4" ht="28" customHeight="1">
      <x:c r="A4" s="21" t="inlineStr">
        <x:is>
          <x:t xml:space="preserve">구분</x:t>
        </x:is>
      </x:c>
      <x:c r="B4" s="21" t="inlineStr">
        <x:is>
          <x:t xml:space="preserve">결정 내용</x:t>
        </x:is>
      </x:c>
      <x:c r="C4" s="21" t="inlineStr">
        <x:is>
          <x:t xml:space="preserve">관리 위치</x:t>
        </x:is>
      </x:c>
      <x:c r="D4" s="21" t="inlineStr">
        <x:is>
          <x:t xml:space="preserve">메모</x:t>
        </x:is>
      </x:c>
    </x:row>
    <x:row r="5" ht="52" customHeight="1">
      <x:c r="A5" s="22" t="inlineStr">
        <x:is>
          <x:t xml:space="preserve">핵심 플레이 감각</x:t>
        </x:is>
      </x:c>
      <x:c r="B5" s="22" t="inlineStr">
        <x:is>
          <x:t xml:space="preserve">초반에는 내가 강하다는 기분을 주고, 중반부터 몬스터 스킬 때문에 덱/배치/등급 성장이 필요해지는 구조</x:t>
        </x:is>
      </x:c>
      <x:c r="C5" s="22" t="inlineStr">
        <x:is>
          <x:t xml:space="preserve">밸런스 기준 문서 및 Round/Monster 테이블</x:t>
        </x:is>
      </x:c>
      <x:c r="D5" s="22" t="inlineStr">
        <x:is>
          <x:t xml:space="preserve">밸런스 판단의 최상위 기준</x:t>
        </x:is>
      </x:c>
    </x:row>
    <x:row r="6" ht="52" customHeight="1">
      <x:c r="A6" s="22" t="inlineStr">
        <x:is>
          <x:t xml:space="preserve">문서 운용</x:t>
        </x:is>
      </x:c>
      <x:c r="B6" s="22" t="inlineStr">
        <x:is>
          <x:t xml:space="preserve">Markdown은 설명용, Excel은 수치/표 확인 및 필터링용으로 병행</x:t>
        </x:is>
      </x:c>
      <x:c r="C6" s="22" t="inlineStr">
        <x:is>
          <x:t xml:space="preserve">docs/GameDesignDecisionSummary.md, 이 xlsx</x:t>
        </x:is>
      </x:c>
      <x:c r="D6" s="22" t="inlineStr">
        <x:is>
          <x:t xml:space="preserve">값이 바뀌면 두 문서 모두 갱신</x:t>
        </x:is>
      </x:c>
    </x:row>
    <x:row r="7" ht="52" customHeight="1">
      <x:c r="A7" s="22" t="inlineStr">
        <x:is>
          <x:t xml:space="preserve">서비스 기준</x:t>
        </x:is>
      </x:c>
      <x:c r="B7" s="22" t="inlineStr">
        <x:is>
          <x:t xml:space="preserve">무과금 적극 플레이어 하루 3시간 기준. 일일 필수 숙제는 20~40분 안에 끝나야 함</x:t>
        </x:is>
      </x:c>
      <x:c r="C7" s="22" t="inlineStr">
        <x:is>
          <x:t xml:space="preserve">밸런스 기준 시트</x:t>
        </x:is>
      </x:c>
      <x:c r="D7" s="22" t="inlineStr">
        <x:is>
          <x:t xml:space="preserve">3시간은 강제 플레이 시간이 아니라 진행 기준</x:t>
        </x:is>
      </x:c>
    </x:row>
    <x:row r="8" ht="52" customHeight="1">
      <x:c r="A8" s="22" t="inlineStr">
        <x:is>
          <x:t xml:space="preserve">아웃게임</x:t>
        </x:is>
      </x:c>
      <x:c r="B8" s="22" t="inlineStr">
        <x:is>
          <x:t xml:space="preserve">상점은 별도 씬, 다이아 상자 뽑기로 캐릭터 카드 획득/성장</x:t>
        </x:is>
      </x:c>
      <x:c r="C8" s="22" t="inlineStr">
        <x:is>
          <x:t xml:space="preserve">CharacterDatabase.cs / OutgameProgressionConfig</x:t>
        </x:is>
      </x:c>
      <x:c r="D8" s="22" t="inlineStr">
        <x:is>
          <x:t xml:space="preserve">테스트와 서비스 모드 분리</x:t>
        </x:is>
      </x:c>
    </x:row>
    <x:row r="9" ht="52" customHeight="1">
      <x:c r="A9" s="22" t="inlineStr">
        <x:is>
          <x:t xml:space="preserve">스킬 성장</x:t>
        </x:is>
      </x:c>
      <x:c r="B9" s="22" t="inlineStr">
        <x:is>
          <x:t xml:space="preserve">괄호로 정한 핵심 수치는 성장 대상. 기본 표기 기준은 레벨당 5% 선형 증가</x:t>
        </x:is>
      </x:c>
      <x:c r="C9" s="22" t="inlineStr">
        <x:is>
          <x:t xml:space="preserve">CharacterCombatTuningConfig.asset / SkillDefinition</x:t>
        </x:is>
      </x:c>
      <x:c r="D9" s="22" t="inlineStr">
        <x:is>
          <x:t xml:space="preserve">카드 레벨 기본 스탯은 공격력/체력 +3%</x:t>
        </x:is>
      </x:c>
    </x:row>
    <x:row r="10" ht="52" customHeight="1">
      <x:c r="A10" s="22" t="inlineStr">
        <x:is>
          <x:t xml:space="preserve">보스 피드백</x:t>
        </x:is>
      </x:c>
      <x:c r="B10" s="22" t="inlineStr">
        <x:is>
          <x:t xml:space="preserve">보스 스킬은 경고, 캐스팅 FX, 타격 FX, 상태 표시, 사망 연출 후 결과창으로 연결</x:t>
        </x:is>
      </x:c>
      <x:c r="C10" s="22" t="inlineStr">
        <x:is>
          <x:t xml:space="preserve">MonsterCombatTuningConfig.asset</x:t>
        </x:is>
      </x:c>
      <x:c r="D10" s="22" t="inlineStr">
        <x:is>
          <x:t xml:space="preserve">피드백이 재미의 핵심</x:t>
        </x:is>
      </x:c>
    </x:row>
    <x:row r="11">
      <x:c r="A11" s="23" t="inlineStr">
        <x:is>
          <x:t xml:space="preserve">2026-07-10 운명카드 전투중 개편</x:t>
        </x:is>
      </x:c>
      <x:c r="B11" s="23" t="inlineStr">
        <x:is>
          <x:t xml:space="preserve">18장 전수 동기화</x:t>
        </x:is>
      </x:c>
      <x:c r="C11" s="23" t="inlineStr">
        <x:is>
          <x:t xml:space="preserve">전투 중 버튼 개방→0.1배 선택→1회 사용 후 숨김. 경제형 카드 즉효성 보강</x:t>
        </x:is>
      </x:c>
      <x:c r="D11" s="23" t="inlineStr">
        <x:is>
          <x:t xml:space="preserve">코드·XLSX 동기화 완료, Play Mode 체감 검증 필요</x:t>
        </x:is>
      </x:c>
    </x:row>
    <x:row r="12" ht="27" customHeight="1">
      <x:c r="A12" s="23" t="inlineStr">
        <x:is>
          <x:t xml:space="preserve">전투 상점</x:t>
        </x:is>
      </x:c>
      <x:c r="B12" s="23" t="inlineStr">
        <x:is>
          <x:t xml:space="preserve">2라운드 이후 3라운드 간격으로 판 전용 상품 3개 제공</x:t>
        </x:is>
      </x:c>
      <x:c r="C12" s="23" t="inlineStr">
        <x:is>
          <x:t xml:space="preserve">RunShopSystem.cs</x:t>
        </x:is>
      </x:c>
      <x:c r="D12" s="23" t="inlineStr">
        <x:is>
          <x:t xml:space="preserve">유닛 보급, 위험 상자, 타일 재배치, 보스 정보, 쿠폰, 회복</x:t>
        </x:is>
      </x:c>
    </x:row>
    <x:row r="13" ht="27" customHeight="1">
      <x:c r="A13" s="23" t="inlineStr">
        <x:is>
          <x:t xml:space="preserve">전술 타일</x:t>
        </x:is>
      </x:c>
      <x:c r="B13" s="23" t="inlineStr">
        <x:is>
          <x:t xml:space="preserve">라운드 진행에 따라 가속/마나/수호/사거리/스킬/과부하/보스 타일 배치</x:t>
        </x:is>
      </x:c>
      <x:c r="C13" s="23" t="inlineStr">
        <x:is>
          <x:t xml:space="preserve">BoardTileModifierSystem.cs / BoardSlot.cs / DefenderUnit.cs</x:t>
        </x:is>
      </x:c>
      <x:c r="D13" s="23" t="inlineStr">
        <x:is>
          <x:t xml:space="preserve">배치 선택 변동성 추가</x:t>
        </x:is>
      </x:c>
    </x:row>
    <x:row r="14">
      <x:c r="A14" s="23" t="inlineStr">
        <x:is>
          <x:t xml:space="preserve">보스 패턴</x:t>
        </x:is>
      </x:c>
      <x:c r="B14" s="23" t="inlineStr">
        <x:is>
          <x:t xml:space="preserve">8개 패턴 로테이션으로 기절, 광역, 마나번, 골드징수, 강화, 처형을 섞음</x:t>
        </x:is>
      </x:c>
      <x:c r="C14" s="23" t="inlineStr">
        <x:is>
          <x:t xml:space="preserve">MonsterDatabase.cs / MonsterUnit.cs</x:t>
        </x:is>
      </x:c>
      <x:c r="D14" s="23" t="inlineStr">
        <x:is>
          <x:t xml:space="preserve">중반 이후 허들 담당</x:t>
        </x:is>
      </x:c>
    </x:row>
    <x:row r="15">
      <x:c r="A15" s="136" t="n"/>
      <x:c r="B15" s="136" t="n"/>
      <x:c r="C15" s="136" t="n"/>
      <x:c r="D15" s="136" t="n"/>
    </x:row>
    <x:row r="16" ht="27" customHeight="1">
      <x:c r="A16" s="23" t="inlineStr">
        <x:is>
          <x:t xml:space="preserve">아웃게임/인게임 분리</x:t>
        </x:is>
      </x:c>
      <x:c r="B16" s="23" t="inlineStr">
        <x:is>
          <x:t xml:space="preserve">아웃게임 허브를 별도 흐름으로 두고, 인게임 HUD는 전투/준비 중에만 표시</x:t>
        </x:is>
      </x:c>
      <x:c r="C16" s="23" t="inlineStr">
        <x:is>
          <x:t xml:space="preserve">MetaFlowUI.cs / RuntimeSceneBootstrap.cs</x:t>
        </x:is>
      </x:c>
      <x:c r="D16" s="23" t="inlineStr">
        <x:is>
          <x:t xml:space="preserve">2026-06-06 적용</x:t>
        </x:is>
      </x:c>
    </x:row>
    <x:row r="17">
      <x:c r="A17" s="23" t="inlineStr">
        <x:is>
          <x:t xml:space="preserve">아웃게임 하단 탭</x:t>
        </x:is>
      </x:c>
      <x:c r="B17" s="23" t="inlineStr">
        <x:is>
          <x:t xml:space="preserve">상점, 인벤, 로비, 얏찌, 랭킹 탭 구조 추가</x:t>
        </x:is>
      </x:c>
      <x:c r="C17" s="23" t="inlineStr">
        <x:is>
          <x:t xml:space="preserve">MetaFlowUI.BuildOutgameBottomNav</x:t>
        </x:is>
      </x:c>
      <x:c r="D17" s="23" t="inlineStr">
        <x:is>
          <x:t xml:space="preserve">얏찌/랭킹은 준비중 자리</x:t>
        </x:is>
      </x:c>
    </x:row>
    <x:row r="18" ht="27" customHeight="1">
      <x:c r="A18" s="23" t="inlineStr">
        <x:is>
          <x:t xml:space="preserve">인게임 나가기</x:t>
        </x:is>
      </x:c>
      <x:c r="B18" s="23" t="inlineStr">
        <x:is>
          <x:t xml:space="preserve">인게임 하단 로비 버튼을 나가기 버튼으로 변경. 누르면 런 상태 정리 후 아웃게임 허브로 이동</x:t>
        </x:is>
      </x:c>
      <x:c r="C18" s="23" t="inlineStr">
        <x:is>
          <x:t xml:space="preserve">DefenseGameController.ExitToOutgame / RoundManager.ResetRunState</x:t>
        </x:is>
      </x:c>
      <x:c r="D18" s="23" t="inlineStr">
        <x:is>
          <x:t xml:space="preserve">결과창 로비도 같은 흐름</x:t>
        </x:is>
      </x:c>
    </x:row>
    <x:row r="19">
      <x:c r="A19" s="23" t="inlineStr">
        <x:is>
          <x:t xml:space="preserve">서비스 확장 기준</x:t>
        </x:is>
      </x:c>
      <x:c r="B19" s="23" t="inlineStr">
        <x:is>
          <x:t xml:space="preserve">성장 테크트리, 랭킹, 야찌류 컨텐츠는 아웃게임 탭으로 확장</x:t>
        </x:is>
      </x:c>
      <x:c r="C19" s="23" t="inlineStr">
        <x:is>
          <x:t xml:space="preserve">아웃게임_인게임 시트</x:t>
        </x:is>
      </x:c>
      <x:c r="D19" s="23" t="inlineStr">
        <x:is>
          <x:t xml:space="preserve">인게임 전투 UI와 분리 유지</x:t>
        </x:is>
      </x:c>
    </x:row>
    <x:row r="20">
      <x:c r="A20" s="23" t="n"/>
      <x:c r="B20" s="23" t="n"/>
      <x:c r="C20" s="23" t="n"/>
      <x:c r="D20" s="23" t="n"/>
    </x:row>
    <x:row r="21">
      <x:c r="A21" s="22" t="inlineStr">
        <x:is>
          <x:t xml:space="preserve">2026-06-16 초반 튜닝</x:t>
        </x:is>
      </x:c>
      <x:c r="B21" s="22" t="inlineStr">
        <x:is>
          <x:t xml:space="preserve">R3 소형 상점 3개 + 합성 부스터 고정, R4~10 회복 상점, R1~5 소환비 증가 0, 스폰/중간보스 완화</x:t>
        </x:is>
      </x:c>
      <x:c r="C21" s="22" t="inlineStr">
        <x:is>
          <x:t xml:space="preserve">DefenseGameController.cs / RunShopSystem.cs / RoundManager.cs / CharacterDatabase.cs</x:t>
        </x:is>
      </x:c>
      <x:c r="D21" s="22" t="inlineStr">
        <x:is>
          <x:t xml:space="preserve">초반 15분 실측 2회 반영</x:t>
        </x:is>
      </x:c>
    </x:row>
    <x:row r="22">
      <x:c r="A22" s="22" t="n"/>
      <x:c r="B22" s="22" t="n"/>
      <x:c r="C22" s="22" t="n"/>
      <x:c r="D22" s="22" t="n"/>
    </x:row>
    <x:row r="23">
      <x:c r="A23" s="22" t="inlineStr">
        <x:is>
          <x:t xml:space="preserve">실측 결과</x:t>
        </x:is>
      </x:c>
      <x:c r="B23" s="22" t="inlineStr">
        <x:is>
          <x:t xml:space="preserve">Run 1은 회복 미구매 흐름에서 R9 생명력 0 종료. Run 2는 회복 보급 1회 사용 후 R10 보스 HP 0%, 생명력 4/20 클리어</x:t>
        </x:is>
      </x:c>
      <x:c r="C23" s="22" t="inlineStr">
        <x:is>
          <x:t xml:space="preserve">docs/GameplayTuningReference.md #18</x:t>
        </x:is>
      </x:c>
      <x:c r="D23" s="22" t="inlineStr">
        <x:is>
          <x:t xml:space="preserve">핵심 위험은 보상 부족보다 생명력 압박 누적</x:t>
        </x:is>
      </x:c>
    </x:row>
    <x:row r="24">
      <x:c r="A24" s="22" t="n"/>
      <x:c r="B24" s="22" t="n"/>
      <x:c r="C24" s="22" t="n"/>
      <x:c r="D24" s="22" t="n"/>
    </x:row>
    <x:row r="25">
      <x:c r="A25" s="22" t="inlineStr">
        <x:is>
          <x:t xml:space="preserve">결과창/빌드 목표</x:t>
        </x:is>
      </x:c>
      <x:c r="B25" s="22" t="inlineStr">
        <x:is>
          <x:t xml:space="preserve">결과창 첫 줄에 대표 빌드명 추천. 초월 완성덱, 보스 대응덱, 보스 사냥덱, 시너지덱, 치명타 폭발덱, 캐리덱, 회복 재정비덱 중 선택</x:t>
        </x:is>
      </x:c>
      <x:c r="C25" s="22" t="inlineStr">
        <x:is>
          <x:t xml:space="preserve">DefenseGameController.cs / MetaFlowUI.cs / SimpleGameHUD.cs</x:t>
        </x:is>
      </x:c>
      <x:c r="D25" s="22" t="inlineStr">
        <x:is>
          <x:t xml:space="preserve">다음 행동을 목록이 아니라 목표명으로 먼저 제시</x:t>
        </x:is>
      </x:c>
    </x:row>
    <x:row r="26">
      <x:c r="A26" s="136" t="n"/>
      <x:c r="B26" s="136" t="n"/>
      <x:c r="C26" s="136" t="n"/>
      <x:c r="D26" s="136" t="n"/>
    </x:row>
    <x:row r="27" ht="42" customHeight="1">
      <x:c r="A27" s="22" t="inlineStr">
        <x:is>
          <x:t xml:space="preserve">2026-06-19 밸런스 후속</x:t>
        </x:is>
      </x:c>
      <x:c r="B27" s="22" t="inlineStr">
        <x:is>
          <x:t xml:space="preserve">극초반 신화 봉인, 초월 레시피 결과 풀, 런 중 상점 확률화를 반영. 초반은 레어/희귀/전설 손맛, 중반부터 신화/초월 목표.</x:t>
        </x:is>
      </x:c>
      <x:c r="C27" s="22" t="inlineStr">
        <x:is>
          <x:t xml:space="preserve">CharacterDatabase.cs / DefenseBoardManager.cs / RunShopSystem.cs</x:t>
        </x:is>
      </x:c>
      <x:c r="D27" s="22" t="inlineStr">
        <x:is>
          <x:t xml:space="preserve">상점은 확률+천장으로 이번 판 운 좋음 사건감 부여</x:t>
        </x:is>
      </x:c>
    </x:row>
    <x:row r="28" ht="36" customHeight="1">
      <x:c r="A28" s="22" t="inlineStr">
        <x:is>
          <x:t xml:space="preserve">초반 신화 개방</x:t>
        </x:is>
      </x:c>
      <x:c r="B28" s="22" t="inlineStr">
        <x:is>
          <x:t xml:space="preserve">R1~R4 신화 0%, R5 0.2%, R9 0.6%, R13 1.5%, R17 3%</x:t>
        </x:is>
      </x:c>
      <x:c r="C28" s="22" t="inlineStr">
        <x:is>
          <x:t xml:space="preserve">CharacterDatabase.cs</x:t>
        </x:is>
      </x:c>
      <x:c r="D28" s="22" t="inlineStr">
        <x:is>
          <x:t xml:space="preserve">초반 대박은 신화가 아니라 전설/합성 완성으로 제공</x:t>
        </x:is>
      </x:c>
    </x:row>
    <x:row r="29" ht="42" customHeight="1">
      <x:c r="A29" s="22" t="inlineStr">
        <x:is>
          <x:t xml:space="preserve">초월 레시피</x:t>
        </x:is>
      </x:c>
      <x:c r="B29" s="22" t="inlineStr">
        <x:is>
          <x:t xml:space="preserve">대부분 특정 신화 포함. 무신화 Soul Battery Rite는 5개 특정 재료와 보급형/방어형 결과로 제한.</x:t>
        </x:is>
      </x:c>
      <x:c r="C29" s="22" t="inlineStr">
        <x:is>
          <x:t xml:space="preserve">DefenseBoardManager.cs</x:t>
        </x:is>
      </x:c>
      <x:c r="D29" s="22" t="inlineStr">
        <x:is>
          <x:t xml:space="preserve">최고등급은 신화 재료 사다리를 대체로 유지</x:t>
        </x:is>
      </x:c>
    </x:row>
    <x:row r="30" ht="42" customHeight="1">
      <x:c r="A30" s="22" t="inlineStr">
        <x:is>
          <x:t xml:space="preserve">상점 변동성</x:t>
        </x:is>
      </x:c>
      <x:c r="B30" s="22" t="inlineStr">
        <x:is>
          <x:t xml:space="preserve">소형 70%, 회복 65%, 정규 55%, 미등장마다 +20%, 정규는 2회 미등장 후 보장.</x:t>
        </x:is>
      </x:c>
      <x:c r="C30" s="22" t="inlineStr">
        <x:is>
          <x:t xml:space="preserve">RunShopSystem.cs</x:t>
        </x:is>
      </x:c>
      <x:c r="D30" s="22" t="inlineStr">
        <x:is>
          <x:t xml:space="preserve">증강체는 기존처럼 핵심 선택으로 유지</x:t>
        </x:is>
      </x:c>
    </x:row>
    <x:row r="31" ht="48" customHeight="1">
      <x:c r="A31" s="22" t="inlineStr">
        <x:is>
          <x:t xml:space="preserve">2026-06-30 신규 초월 3종</x:t>
        </x:is>
      </x:c>
      <x:c r="B31" s="22" t="inlineStr">
        <x:is>
          <x:t xml:space="preserve">hero_55 Dice_armor, hero_56 dice_auto, hero_57 Dice_Broken을 초월 등급으로 확정하고 전투 스탯·고유 스킬·조합 레시피를 반영.</x:t>
        </x:is>
      </x:c>
      <x:c r="C31" s="22" t="inlineStr">
        <x:is>
          <x:t xml:space="preserve">CharacterDatabase.cs / CharacterCombatTuningConfig.cs / DefenseBoardManager.cs</x:t>
        </x:is>
      </x:c>
      <x:c r="D31" s="22" t="inlineStr">
        <x:is>
          <x:t xml:space="preserve">hero_34~36 신화 예약 슬롯은 비워 둠</x:t>
        </x:is>
      </x:c>
    </x:row>
    <x:row r="32" ht="48" customHeight="1">
      <x:c r="A32" s="22" t="inlineStr">
        <x:is>
          <x:t xml:space="preserve">2026-06-30 몬스터 전투 설정</x:t>
        </x:is>
      </x:c>
      <x:c r="B32" s="22" t="inlineStr">
        <x:is>
          <x:t xml:space="preserve">Boss/Minion 9종의 근거리·원거리 타입, 사거리, AttackHit·FireProjectile·SkillHit 이벤트와 투사체/FX 연결을 확정.</x:t>
        </x:is>
      </x:c>
      <x:c r="C32" s="22" t="inlineStr">
        <x:is>
          <x:t xml:space="preserve">MonsterCombatTuningConfig.cs / MonsterCombatTuningConfig.asset / 몬스터_전투스킬 시트</x:t>
        </x:is>
      </x:c>
      <x:c r="D32" s="22" t="inlineStr">
        <x:is>
          <x:t xml:space="preserve">스킬 수치 조정 전 검토용 현재 런타임 기준</x:t>
        </x:is>
      </x:c>
    </x:row>
    <x:row r="33">
      <x:c r="A33" s="136" t="n"/>
      <x:c r="B33" s="136" t="n"/>
      <x:c r="C33" s="136" t="n"/>
      <x:c r="D33" s="136" t="n"/>
    </x:row>
    <x:row r="34">
      <x:c r="A34" s="82" t="inlineStr">
        <x:is>
          <x:t xml:space="preserve">2026-07-09 11:55 KST</x:t>
        </x:is>
      </x:c>
      <x:c r="B34" s="82" t="inlineStr">
        <x:is>
          <x:t xml:space="preserve">최신 동기화</x:t>
        </x:is>
      </x:c>
      <x:c r="C34" s="82" t="inlineStr">
        <x:is>
          <x:t xml:space="preserve">운명카드_18 / 검증_2026-07-09 / 후속작업_9점 / 실측_5판 갱신</x:t>
        </x:is>
      </x:c>
      <x:c r="D34" s="82" t="inlineStr">
        <x:is>
          <x:t xml:space="preserve">Unity batch 재실행은 열린 Editor 때문에 차단</x:t>
        </x:is>
      </x:c>
    </x:row>
    <x:row r="35">
      <x:c r="A35" s="136" t="n"/>
      <x:c r="B35" s="136" t="n"/>
      <x:c r="C35" s="136" t="n"/>
      <x:c r="D35" s="136" t="n"/>
    </x:row>
    <x:row r="36">
      <x:c r="A36" s="82" t="inlineStr">
        <x:is>
          <x:t xml:space="preserve">2026-07-09 12:01 KST</x:t>
        </x:is>
      </x:c>
      <x:c r="B36" s="82" t="inlineStr">
        <x:is>
          <x:t xml:space="preserve">최신 실측 반영</x:t>
        </x:is>
      </x:c>
      <x:c r="C36" s="82" t="inlineStr">
        <x:is>
          <x:t xml:space="preserve">R10 4/5=80%, summon-heavy/balanced 성공, shop-save R5 실패</x:t>
        </x:is>
      </x:c>
      <x:c r="D36" s="82" t="inlineStr">
        <x:is>
          <x:t xml:space="preserve">목표보다 살짝 쉬움. shop-save 보강 후 재측정 권장</x:t>
        </x:is>
      </x:c>
    </x:row>
    <x:row r="37">
      <x:c r="A37" s="136" t="inlineStr">
        <x:is>
          <x:t xml:space="preserve">2026-07-09 최신 튜닝</x:t>
        </x:is>
      </x:c>
      <x:c r="B37" s="136" t="inlineStr">
        <x:is>
          <x:t xml:space="preserve">시작 36G로 3소환 보장, 상단 합성 결과 배너 평시 숨김, 보스 목표 HUD 축약, 몬스터 스폰 방향 수평 초기화, 5판 실측 R10 2/5=40%</x:t>
        </x:is>
      </x:c>
      <x:c r="C37" s="136" t="inlineStr">
        <x:is>
          <x:t xml:space="preserve">DefenseGameController.cs / SimpleGameHUD.cs / MonsterUnit.cs / DefenseGame_Playtest5_Human3.json</x:t>
        </x:is>
      </x:c>
      <x:c r="D37" s="136" t="inlineStr">
        <x:is>
          <x:t xml:space="preserve">목표 65~75%보다 낮아 R9~10 난이도 또는 운명카드/상점 선택 보정 필요</x:t>
        </x:is>
      </x:c>
    </x:row>
    <x:row r="38" ht="48" customHeight="1">
      <x:c r="A38" s="133" t="inlineStr">
        <x:is>
          <x:t xml:space="preserve">2026-07-17 안정화</x:t>
        </x:is>
      </x:c>
      <x:c r="B38" s="133" t="inlineStr">
        <x:is>
          <x:t xml:space="preserve">R3+8R 소형 상점 단일화, 모바일 Safe Area/가독성, VFX 호환·투사체 풀링, 초반 경제 중첩 축소</x:t>
        </x:is>
      </x:c>
      <x:c r="C38" s="133" t="inlineStr">
        <x:is>
          <x:t xml:space="preserve">RuntimeSceneBootstrap.cs / RunShopSystem.cs / RuntimeEffectUtility.cs / Projectile.cs</x:t>
        </x:is>
      </x:c>
      <x:c r="D38" s="133" t="inlineStr">
        <x:is>
          <x:t xml:space="preserve">C# 0/0, 최신 Unity 스모크 PASS, 인간형 5판 R10 4/5</x:t>
        </x:is>
      </x:c>
    </x:row>
    <x:row r="39" ht="48" customHeight="1">
      <x:c r="A39" s="133" t="inlineStr">
        <x:is>
          <x:t xml:space="preserve">2026-07-17 동시사망 판정</x:t>
        </x:is>
      </x:c>
      <x:c r="B39" s="133" t="inlineStr">
        <x:is>
          <x:t xml:space="preserve">같은 전투 프레임에 라운드의 마지막 적과 유저 HP가 함께 0이 되면 HP 1을 남기고 유저 승리로 처리.</x:t>
        </x:is>
      </x:c>
      <x:c r="C39" s="133" t="inlineStr">
        <x:is>
          <x:t xml:space="preserve">DefenseGameController.cs / DefenseGamePlayModeSmoke.cs</x:t>
        </x:is>
      </x:c>
      <x:c r="D39" s="133" t="inlineStr">
        <x:is>
          <x:t xml:space="preserve">마지막 적 사망 확정이 없는 단순 누수 패배는 승리로 오인하지 않음</x:t>
        </x:is>
      </x:c>
    </x:row>
    <x:row r="40" ht="48" customHeight="1">
      <x:c r="A40" s="133" t="inlineStr">
        <x:is>
          <x:t xml:space="preserve">2026-07-17 hero_32 확정</x:t>
        </x:is>
      </x:c>
      <x:c r="B40" s="133" t="inlineStr">
        <x:is>
          <x:t xml:space="preserve">야성의 추적탄: 220% 피해, 35% 둔화 4초, 공격력 30% 독 피해를 초당 4회, 자신 공격속도 +25% 5초.</x:t>
        </x:is>
      </x:c>
      <x:c r="C40" s="133" t="inlineStr">
        <x:is>
          <x:t xml:space="preserve">CharacterCombatTuningConfig.cs / AugmentManager.cs / CharacterDatabase.cs</x:t>
        </x:is>
      </x:c>
      <x:c r="D40" s="133" t="inlineStr">
        <x:is>
          <x:t xml:space="preserve">전용 증강 3종과 영웅 스킬 시트까지 동기화</x:t>
        </x:is>
      </x:c>
    </x:row>
    <x:row r="41" ht="48" customHeight="1">
      <x:c r="A41" s="133" t="inlineStr">
        <x:is>
          <x:t xml:space="preserve">2026-07-17 R10 미세 상향</x:t>
        </x:is>
      </x:c>
      <x:c r="B41" s="133" t="inlineStr">
        <x:is>
          <x:t xml:space="preserve">10라운드 골렘 보스 체력 배율 2.75→2.94(+6.9%), 공격 배율 1.78→1.84(+3.4%).</x:t>
        </x:is>
      </x:c>
      <x:c r="C41" s="133" t="inlineStr">
        <x:is>
          <x:t xml:space="preserve">MonsterDatabase.cs</x:t>
        </x:is>
      </x:c>
      <x:c r="D41" s="133" t="inlineStr">
        <x:is>
          <x:t xml:space="preserve">5판 결과 4/5=80%; 5판 단위는 20% 간격이라 목표 65~75%의 최근접 상단</x:t>
        </x:is>
      </x:c>
    </x:row>
    <x:row r="42" ht="48" customHeight="1">
      <x:c r="A42" s="133" t="inlineStr">
        <x:is>
          <x:t xml:space="preserve">2026-07-17 승리 결과 UI</x:t>
        </x:is>
      </x:c>
      <x:c r="B42" s="133" t="inlineStr">
        <x:is>
          <x:t xml:space="preserve">결과 요약·메타·다음 행동 글자 크기와 버튼 높이를 키우고 외곽선을 보강.</x:t>
        </x:is>
      </x:c>
      <x:c r="C42" s="133" t="inlineStr">
        <x:is>
          <x:t xml:space="preserve">MetaFlowUI.cs</x:t>
        </x:is>
      </x:c>
      <x:c r="D42" s="133" t="inlineStr">
        <x:is>
          <x:t xml:space="preserve">모바일에서 점수·보상·계속하기 우선순위가 한눈에 보이도록 정리</x:t>
        </x:is>
      </x:c>
    </x:row>
    <x:row r="43" ht="38" customHeight="1">
      <x:c r="A43" s="182" t="inlineStr">
        <x:is>
          <x:t xml:space="preserve">2026-07-22 상용화 성장 루프</x:t>
        </x:is>
      </x:c>
      <x:c r="B43" s="182" t="inlineStr">
        <x:is>
          <x:t xml:space="preserve">R20·30·40·50 허들/완화, 플레이 무료 상자, 프리미엄 천장·위시, 첫 허들 실패 지원을 구현.</x:t>
        </x:is>
      </x:c>
      <x:c r="C43" s="182" t="inlineStr">
        <x:is>
          <x:t xml:space="preserve">RoundManager.cs / CharacterDatabase.cs / MetaFlowUI.cs</x:t>
        </x:is>
      </x:c>
      <x:c r="D43" s="182" t="inlineStr">
        <x:is>
          <x:t xml:space="preserve">기존 세이브 보존. 신규 100 DIA·무료 상자 1개, 전투 포인트당 1 DIA.</x:t>
        </x:is>
      </x:c>
    </x:row>
    <x:row r="44" ht="38" customHeight="1">
      <x:c r="A44" s="226" t="str">
        <x:v>2026-08-06 서비스 획득/얏찌</x:v>
      </x:c>
      <x:c r="B44" s="226" t="str">
        <x:v>보유 유닛만 소환 · 명함 1장 해금 · 신화/초월은 얏찌/패키지/패스</x:v>
      </x:c>
      <x:c r="C44" s="226" t="str">
        <x:v>신규 제작 명세 시트 4개</x:v>
      </x:c>
      <x:c r="D44" s="226" t="str">
        <x:v>서비스_획득설계_0806 / 얏찌_제작명세_0806 / 소환가중치_서비스 / 구현체크_0806</x:v>
      </x:c>
    </x:row>
    <x:row r="45" ht="38" customHeight="1">
      <x:c r="A45" s="226" t="str">
        <x:v>2026-08-06 전투 배속/옵션</x:v>
      </x:c>
      <x:c r="B45" s="226" t="str">
        <x:v>활성 전투만 장기전 가속 · 30초 2배 최초 노티 · 햄버거 메뉴 0배 후 이전 배속 복원</x:v>
      </x:c>
      <x:c r="C45" s="226" t="str">
        <x:v>코드 반영·스모크 필요</x:v>
      </x:c>
      <x:c r="D45" s="226" t="str">
        <x:v>RoundManager.cs / DefenseGameController.cs</x:v>
      </x:c>
    </x:row>
  </x:sheetData>
  <x:pageMargins left="0.7" right="0.7" top="0.75" bottom="0.75" header="0.3" footer="0.3"/>
  <x:tableParts count="1">
    <x:tablePart xmlns:r="http://schemas.openxmlformats.org/officeDocument/2006/relationships" r:id="Ra719ce9e236f41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58" customWidth="1"/>
    <x:col min="3" max="3" width="46" customWidth="1"/>
    <x:col min="4" max="4" width="44" customWidth="1"/>
    <x:col min="5" max="5" width="18" customWidth="1"/>
    <x:col min="6" max="6" width="34" customWidth="1"/>
  </x:cols>
  <x:sheetData>
    <x:row r="1" ht="28" customHeight="1">
      <x:c r="A1" s="25" t="inlineStr">
        <x:is>
          <x:t xml:space="preserve">2026-06-16 초반 15분 튜닝 적용 요약</x:t>
        </x:is>
      </x:c>
    </x:row>
    <x:row r="2">
      <x:c r="A2" s="26" t="inlineStr">
        <x:is>
          <x:t xml:space="preserve">GameplayTuningReference.md Section 18과 현재 코드 기본값을 엑셀에 반영한 시트입니다.</x:t>
        </x:is>
      </x:c>
    </x:row>
    <x:row r="4">
      <x:c r="A4" s="27" t="inlineStr">
        <x:is>
          <x:t xml:space="preserve">영역</x:t>
        </x:is>
      </x:c>
      <x:c r="B4" s="27" t="inlineStr">
        <x:is>
          <x:t xml:space="preserve">적용값</x:t>
        </x:is>
      </x:c>
      <x:c r="C4" s="27" t="inlineStr">
        <x:is>
          <x:t xml:space="preserve">관리 위치</x:t>
        </x:is>
      </x:c>
      <x:c r="D4" s="27" t="inlineStr">
        <x:is>
          <x:t xml:space="preserve">의도/확인 포인트</x:t>
        </x:is>
      </x:c>
      <x:c r="E4" s="27" t="inlineStr">
        <x:is>
          <x:t xml:space="preserve">상태</x:t>
        </x:is>
      </x:c>
      <x:c r="F4" s="27" t="inlineStr">
        <x:is>
          <x:t xml:space="preserve">다음 조정</x:t>
        </x:is>
      </x:c>
    </x:row>
    <x:row r="5" ht="34" customHeight="1">
      <x:c r="A5" s="28" t="inlineStr">
        <x:is>
          <x:t xml:space="preserve">경제</x:t>
        </x:is>
      </x:c>
      <x:c r="B5" s="28" t="inlineStr">
        <x:is>
          <x:t xml:space="preserve">시작 골드 30 / 소환비 10 / R1~5 소환비 증가 0 / R6 이후 +1 / 최대 80</x:t>
        </x:is>
      </x:c>
      <x:c r="C5" s="28" t="inlineStr">
        <x:is>
          <x:t xml:space="preserve">DefenseGameController.cs</x:t>
        </x:is>
      </x:c>
      <x:c r="D5" s="28" t="inlineStr">
        <x:is>
          <x:t xml:space="preserve">첫 5분 안에 첫 소환과 R3 상점 구매 여지 확보</x:t>
        </x:is>
      </x:c>
      <x:c r="E5" s="29" t="inlineStr">
        <x:is>
          <x:t xml:space="preserve">적용</x:t>
        </x:is>
      </x:c>
      <x:c r="F5" s="28" t="inlineStr">
        <x:is>
          <x:t xml:space="preserve">초반이 과하면 시작 골드 또는 무료 램프 조정</x:t>
        </x:is>
      </x:c>
    </x:row>
    <x:row r="6" ht="34" customHeight="1">
      <x:c r="A6" s="30" t="inlineStr">
        <x:is>
          <x:t xml:space="preserve">초반 보정</x:t>
        </x:is>
      </x:c>
      <x:c r="B6" s="30" t="inlineStr">
        <x:is>
          <x:t xml:space="preserve">첫 2회 소환 Rare+ 보장 / Epic 보정 12% / R3 Rare+22G / R4 보스 대비 +18G</x:t>
        </x:is>
      </x:c>
      <x:c r="C6" s="30" t="inlineStr">
        <x:is>
          <x:t xml:space="preserve">DefenseGameController.cs</x:t>
        </x:is>
      </x:c>
      <x:c r="D6" s="30" t="inlineStr">
        <x:is>
          <x:t xml:space="preserve">첫 Rare+와 첫 합성 시점을 앞당김</x:t>
        </x:is>
      </x:c>
      <x:c r="E6" s="29" t="inlineStr">
        <x:is>
          <x:t xml:space="preserve">적용</x:t>
        </x:is>
      </x:c>
      <x:c r="F6" s="30" t="inlineStr">
        <x:is>
          <x:t xml:space="preserve">고점이 과하면 earlyPityEpicChance 하향</x:t>
        </x:is>
      </x:c>
    </x:row>
    <x:row r="7" ht="34" customHeight="1">
      <x:c r="A7" s="28" t="inlineStr">
        <x:is>
          <x:t xml:space="preserve">소환 확률</x:t>
        </x:is>
      </x:c>
      <x:c r="B7" s="28" t="inlineStr">
        <x:is>
          <x:t xml:space="preserve">R1~R4 신화 0%, R5 0.2%, R9 0.6%, R13 1.5%, R17 3%</x:t>
        </x:is>
      </x:c>
      <x:c r="C7" s="28" t="inlineStr">
        <x:is>
          <x:t xml:space="preserve">CharacterDatabase.cs</x:t>
        </x:is>
      </x:c>
      <x:c r="D7" s="28" t="inlineStr">
        <x:is>
          <x:t xml:space="preserve">초반 Rare/Epic 체감 강화</x:t>
        </x:is>
      </x:c>
      <x:c r="E7" s="29" t="inlineStr">
        <x:is>
          <x:t xml:space="preserve">적용</x:t>
        </x:is>
      </x:c>
      <x:c r="F7" s="28" t="inlineStr">
        <x:is>
          <x:t xml:space="preserve">등급 시트 마일스톤과 동기화</x:t>
        </x:is>
      </x:c>
    </x:row>
    <x:row r="8" ht="34" customHeight="1">
      <x:c r="A8" s="30" t="inlineStr">
        <x:is>
          <x:t xml:space="preserve">라운드 수량</x:t>
        </x:is>
      </x:c>
      <x:c r="B8" s="30" t="inlineStr">
        <x:is>
          <x:t xml:space="preserve">R1 6(+1.5), R4 10(+1.2), R10 22(+2.3), 압박 보너스 2/2/3</x:t>
        </x:is>
      </x:c>
      <x:c r="C8" s="30" t="inlineStr">
        <x:is>
          <x:t xml:space="preserve">RoundManager.cs</x:t>
        </x:is>
      </x:c>
      <x:c r="D8" s="30" t="inlineStr">
        <x:is>
          <x:t xml:space="preserve">R1~10 과압박 완화</x:t>
        </x:is>
      </x:c>
      <x:c r="E8" s="29" t="inlineStr">
        <x:is>
          <x:t xml:space="preserve">적용</x:t>
        </x:is>
      </x:c>
      <x:c r="F8" s="30" t="inlineStr">
        <x:is>
          <x:t xml:space="preserve">클리어가 너무 빠르면 countPerRound부터 소폭 상향</x:t>
        </x:is>
      </x:c>
    </x:row>
    <x:row r="9" ht="34" customHeight="1">
      <x:c r="A9" s="28" t="inlineStr">
        <x:is>
          <x:t xml:space="preserve">스폰 간격</x:t>
        </x:is>
      </x:c>
      <x:c r="B9" s="28" t="inlineStr">
        <x:is>
          <x:t xml:space="preserve">R1 0.78(-0.035 cap 0.07), R4 0.62(-0.018 cap 0.10), R10 0.42(-0.008 cap 0.14)</x:t>
        </x:is>
      </x:c>
      <x:c r="C9" s="28" t="inlineStr">
        <x:is>
          <x:t xml:space="preserve">RoundManager.cs</x:t>
        </x:is>
      </x:c>
      <x:c r="D9" s="28" t="inlineStr">
        <x:is>
          <x:t xml:space="preserve">초반 처리 시간과 생명력 압박 완화</x:t>
        </x:is>
      </x:c>
      <x:c r="E9" s="29" t="inlineStr">
        <x:is>
          <x:t xml:space="preserve">적용</x:t>
        </x:is>
      </x:c>
      <x:c r="F9" s="28" t="inlineStr">
        <x:is>
          <x:t xml:space="preserve">체감이 밋밋하면 intervalChange를 먼저 조정</x:t>
        </x:is>
      </x:c>
    </x:row>
    <x:row r="10" ht="34" customHeight="1">
      <x:c r="A10" s="30" t="inlineStr">
        <x:is>
          <x:t xml:space="preserve">보스/중간보스</x:t>
        </x:is>
      </x:c>
      <x:c r="B10" s="30" t="inlineStr">
        <x:is>
          <x:t xml:space="preserve">보스 지원몹 5 / 중간보스 R5부터 5라운드 간격 / 중간보스 HP x2.2, ATK x1.12</x:t>
        </x:is>
      </x:c>
      <x:c r="C10" s="30" t="inlineStr">
        <x:is>
          <x:t xml:space="preserve">RoundManager.cs / MonsterDatabase.cs</x:t>
        </x:is>
      </x:c>
      <x:c r="D10" s="30" t="inlineStr">
        <x:is>
          <x:t xml:space="preserve">R10 전후 급격한 생명력 손실 완화</x:t>
        </x:is>
      </x:c>
      <x:c r="E10" s="29" t="inlineStr">
        <x:is>
          <x:t xml:space="preserve">적용</x:t>
        </x:is>
      </x:c>
      <x:c r="F10" s="30" t="inlineStr">
        <x:is>
          <x:t xml:space="preserve">R10 보스 HP 잔량과 생명력 동시 확인</x:t>
        </x:is>
      </x:c>
    </x:row>
    <x:row r="11" ht="34" customHeight="1">
      <x:c r="A11" s="28" t="inlineStr">
        <x:is>
          <x:t xml:space="preserve">R3 소형 상점</x:t>
        </x:is>
      </x:c>
      <x:c r="B11" s="28" t="inlineStr">
        <x:is>
          <x:t xml:space="preserve">ROUND 3, 선택지 3개, 가격 72%, 합성 부스터 고정 1개</x:t>
        </x:is>
      </x:c>
      <x:c r="C11" s="28" t="inlineStr">
        <x:is>
          <x:t xml:space="preserve">RunShopSystem.cs</x:t>
        </x:is>
      </x:c>
      <x:c r="D11" s="28" t="inlineStr">
        <x:is>
          <x:t xml:space="preserve">선택 공백 완화와 첫 합성선 보정</x:t>
        </x:is>
      </x:c>
      <x:c r="E11" s="29" t="inlineStr">
        <x:is>
          <x:t xml:space="preserve">적용</x:t>
        </x:is>
      </x:c>
      <x:c r="F11" s="28" t="inlineStr">
        <x:is>
          <x:t xml:space="preserve">복잡하면 선택지 2개 또는 ROUND 4로 지연</x:t>
        </x:is>
      </x:c>
    </x:row>
    <x:row r="12" ht="34" customHeight="1">
      <x:c r="A12" s="30" t="inlineStr">
        <x:is>
          <x:t xml:space="preserve">합성 부스터</x:t>
        </x:is>
      </x:c>
      <x:c r="B12" s="30" t="inlineStr">
        <x:is>
          <x:t xml:space="preserve">보유 중인 가장 유효한 등급의 부족 재료를 빈 슬롯 한도 내 지급</x:t>
        </x:is>
      </x:c>
      <x:c r="C12" s="30" t="inlineStr">
        <x:is>
          <x:t xml:space="preserve">DefenseGameController.TryGrantMergeAssistUnit</x:t>
        </x:is>
      </x:c>
      <x:c r="D12" s="30" t="inlineStr">
        <x:is>
          <x:t xml:space="preserve">같은 등급 2마리 조건에만 기대지 않게 보정</x:t>
        </x:is>
      </x:c>
      <x:c r="E12" s="29" t="inlineStr">
        <x:is>
          <x:t xml:space="preserve">적용</x:t>
        </x:is>
      </x:c>
      <x:c r="F12" s="30" t="inlineStr">
        <x:is>
          <x:t xml:space="preserve">빈 슬롯 부족 안내/재시도 체감 확인</x:t>
        </x:is>
      </x:c>
    </x:row>
    <x:row r="13" ht="34" customHeight="1">
      <x:c r="A13" s="28" t="inlineStr">
        <x:is>
          <x:t xml:space="preserve">회복 상점</x:t>
        </x:is>
      </x:c>
      <x:c r="B13" s="28" t="inlineStr">
        <x:is>
          <x:t xml:space="preserve">R4~R10 필요 시 1회 / 회복 골드 +18G+생명력3 / 보스 대비 생명력2 / 현장 의무병 생명력1</x:t>
        </x:is>
      </x:c>
      <x:c r="C13" s="28" t="inlineStr">
        <x:is>
          <x:t xml:space="preserve">RunShopSystem.cs / DefenseGameController.RecoverLife</x:t>
        </x:is>
      </x:c>
      <x:c r="D13" s="28" t="inlineStr">
        <x:is>
          <x:t xml:space="preserve">보상 부족보다 생명력 압박 누적을 완화</x:t>
        </x:is>
      </x:c>
      <x:c r="E13" s="29" t="inlineStr">
        <x:is>
          <x:t xml:space="preserve">적용</x:t>
        </x:is>
      </x:c>
      <x:c r="F13" s="28" t="inlineStr">
        <x:is>
          <x:t xml:space="preserve">2회 테스트 모두 뜨면 기준 상향</x:t>
        </x:is>
      </x:c>
    </x:row>
    <x:row r="14" ht="34" customHeight="1">
      <x:c r="A14" s="30" t="inlineStr">
        <x:is>
          <x:t xml:space="preserve">텔레메트리</x:t>
        </x:is>
      </x:c>
      <x:c r="B14" s="30" t="inlineStr">
        <x:is>
          <x:t xml:space="preserve">R1~10 기록 / 느린 클리어 54초 / 보스 HP 30% / 생명력 50% 이하 회복 추천</x:t>
        </x:is>
      </x:c>
      <x:c r="C14" s="30" t="inlineStr">
        <x:is>
          <x:t xml:space="preserve">DefenseGameController.cs</x:t>
        </x:is>
      </x:c>
      <x:c r="D14" s="30" t="inlineStr">
        <x:is>
          <x:t xml:space="preserve">초반 막힘 원인을 수치로 판단</x:t>
        </x:is>
      </x:c>
      <x:c r="E14" s="29" t="inlineStr">
        <x:is>
          <x:t xml:space="preserve">적용</x:t>
        </x:is>
      </x:c>
      <x:c r="F14" s="30" t="inlineStr">
        <x:is>
          <x:t xml:space="preserve">slowEarlyClearSeconds, highBossHealthWarningRatio 우선 조정</x:t>
        </x:is>
      </x:c>
    </x:row>
    <x:row r="15" ht="34" customHeight="1">
      <x:c r="A15" s="28" t="inlineStr">
        <x:is>
          <x:t xml:space="preserve">결과창</x:t>
        </x:is>
      </x:c>
      <x:c r="B15" s="28" t="inlineStr">
        <x:is>
          <x:t xml:space="preserve">대표 빌드명 첫 줄 추천 + 다음 행동 요약</x:t>
        </x:is>
      </x:c>
      <x:c r="C15" s="28" t="inlineStr">
        <x:is>
          <x:t xml:space="preserve">DefenseGameController.cs / MetaFlowUI.cs</x:t>
        </x:is>
      </x:c>
      <x:c r="D15" s="28" t="inlineStr">
        <x:is>
          <x:t xml:space="preserve">목록 나열보다 다음 판 목표를 먼저 제시</x:t>
        </x:is>
      </x:c>
      <x:c r="E15" s="29" t="inlineStr">
        <x:is>
          <x:t xml:space="preserve">적용</x:t>
        </x:is>
      </x:c>
      <x:c r="F15" s="28" t="inlineStr">
        <x:is>
          <x:t xml:space="preserve">추천명이 현재 런 상태와 맞는지 확인</x:t>
        </x:is>
      </x:c>
    </x:row>
    <x:row r="16" ht="34" customHeight="1">
      <x:c r="A16" s="30" t="inlineStr">
        <x:is>
          <x:t xml:space="preserve">실측 메모</x:t>
        </x:is>
      </x:c>
      <x:c r="B16" s="30" t="inlineStr">
        <x:is>
          <x:t xml:space="preserve">Run1: 회복 미구매 흐름 R9 종료 / Run2: 회복 1회 후 R10 클리어 HP 4/20</x:t>
        </x:is>
      </x:c>
      <x:c r="C16" s="30" t="inlineStr">
        <x:is>
          <x:t xml:space="preserve">GameplayTuningReference.md</x:t>
        </x:is>
      </x:c>
      <x:c r="D16" s="30" t="inlineStr">
        <x:is>
          <x:t xml:space="preserve">첫 5분 보장 사건 루프는 작동</x:t>
        </x:is>
      </x:c>
      <x:c r="E16" s="29" t="inlineStr">
        <x:is>
          <x:t xml:space="preserve">기록</x:t>
        </x:is>
      </x:c>
      <x:c r="F16" s="30" t="inlineStr">
        <x:is>
          <x:t xml:space="preserve">R1~R10 최소 2회 추가 실측</x:t>
        </x:is>
      </x:c>
    </x:row>
    <x:row r="19">
      <x:c r="A19" s="31" t="inlineStr">
        <x:is>
          <x:t xml:space="preserve">다음 실측 후 우선 조정 포인트</x:t>
        </x:is>
      </x:c>
    </x:row>
    <x:row r="20">
      <x:c r="A20" s="27" t="inlineStr">
        <x:is>
          <x:t xml:space="preserve">설정</x:t>
        </x:is>
      </x:c>
      <x:c r="B20" s="27" t="inlineStr">
        <x:is>
          <x:t xml:space="preserve">현재값</x:t>
        </x:is>
      </x:c>
      <x:c r="C20" s="27" t="inlineStr">
        <x:is>
          <x:t xml:space="preserve">낮출 때</x:t>
        </x:is>
      </x:c>
      <x:c r="D20" s="27" t="inlineStr">
        <x:is>
          <x:t xml:space="preserve">높일 때</x:t>
        </x:is>
      </x:c>
      <x:c r="E20" s="27" t="inlineStr">
        <x:is>
          <x:t xml:space="preserve">관리 위치</x:t>
        </x:is>
      </x:c>
      <x:c r="F20" s="27" t="inlineStr">
        <x:is>
          <x:t xml:space="preserve">메모</x:t>
        </x:is>
      </x:c>
    </x:row>
    <x:row r="21" ht="38" customHeight="1">
      <x:c r="A21" s="28" t="inlineStr">
        <x:is>
          <x:t xml:space="preserve">slowEarlyClearSeconds</x:t>
        </x:is>
      </x:c>
      <x:c r="B21" s="32" t="inlineStr">
        <x:is>
          <x:t xml:space="preserve">54초</x:t>
        </x:is>
      </x:c>
      <x:c r="C21" s="33" t="inlineStr">
        <x:is>
          <x:t xml:space="preserve">회복 상점이 너무 안 뜨고 초반이 막힐 때</x:t>
        </x:is>
      </x:c>
      <x:c r="D21" s="29" t="inlineStr">
        <x:is>
          <x:t xml:space="preserve">회복 상점이 너무 자주 뜰 때</x:t>
        </x:is>
      </x:c>
      <x:c r="E21" s="28" t="inlineStr">
        <x:is>
          <x:t xml:space="preserve">DefenseGameController</x:t>
        </x:is>
      </x:c>
      <x:c r="F21" s="28" t="inlineStr">
        <x:is>
          <x:t xml:space="preserve">느린 클리어 판단</x:t>
        </x:is>
      </x:c>
    </x:row>
    <x:row r="22" ht="38" customHeight="1">
      <x:c r="A22" s="28" t="inlineStr">
        <x:is>
          <x:t xml:space="preserve">highBossHealthWarningRatio</x:t>
        </x:is>
      </x:c>
      <x:c r="B22" s="32" t="inlineStr">
        <x:is>
          <x:t xml:space="preserve">30%</x:t>
        </x:is>
      </x:c>
      <x:c r="C22" s="33" t="inlineStr">
        <x:is>
          <x:t xml:space="preserve">보스 HP가 조금만 남아도 대응을 유도하고 싶을 때</x:t>
        </x:is>
      </x:c>
      <x:c r="D22" s="29" t="inlineStr">
        <x:is>
          <x:t xml:space="preserve">보스 경고/회복 추천이 과할 때</x:t>
        </x:is>
      </x:c>
      <x:c r="E22" s="28" t="inlineStr">
        <x:is>
          <x:t xml:space="preserve">DefenseGameController</x:t>
        </x:is>
      </x:c>
      <x:c r="F22" s="28" t="inlineStr">
        <x:is>
          <x:t xml:space="preserve">보스 HP 잔량 판단</x:t>
        </x:is>
      </x:c>
    </x:row>
    <x:row r="23" ht="38" customHeight="1">
      <x:c r="A23" s="28" t="inlineStr">
        <x:is>
          <x:t xml:space="preserve">earlyMiniShopOfferCount</x:t>
        </x:is>
      </x:c>
      <x:c r="B23" s="32" t="inlineStr">
        <x:is>
          <x:t xml:space="preserve">3개</x:t>
        </x:is>
      </x:c>
      <x:c r="C23" s="33" t="inlineStr">
        <x:is>
          <x:t xml:space="preserve">초반 선택지가 복잡할 때 2개</x:t>
        </x:is>
      </x:c>
      <x:c r="D23" s="29" t="inlineStr">
        <x:is>
          <x:t xml:space="preserve">초반이 밋밋할 때 3 유지</x:t>
        </x:is>
      </x:c>
      <x:c r="E23" s="28" t="inlineStr">
        <x:is>
          <x:t xml:space="preserve">RunShopSystem</x:t>
        </x:is>
      </x:c>
      <x:c r="F23" s="28" t="inlineStr">
        <x:is>
          <x:t xml:space="preserve">합성 부스터는 고정 1개</x:t>
        </x:is>
      </x:c>
    </x:row>
    <x:row r="24" ht="38" customHeight="1">
      <x:c r="A24" s="28" t="inlineStr">
        <x:is>
          <x:t xml:space="preserve">earlyRecoveryShopFirstRound</x:t>
        </x:is>
      </x:c>
      <x:c r="B24" s="32" t="inlineStr">
        <x:is>
          <x:t xml:space="preserve">4</x:t>
        </x:is>
      </x:c>
      <x:c r="C24" s="33" t="inlineStr">
        <x:is>
          <x:t xml:space="preserve">R3부터 생명력 압박이 심할 때</x:t>
        </x:is>
      </x:c>
      <x:c r="D24" s="29" t="inlineStr">
        <x:is>
          <x:t xml:space="preserve">R4~10 회복이 과할 때 5로 지연</x:t>
        </x:is>
      </x:c>
      <x:c r="E24" s="28" t="inlineStr">
        <x:is>
          <x:t xml:space="preserve">RunShopSystem</x:t>
        </x:is>
      </x:c>
      <x:c r="F24" s="28" t="inlineStr">
        <x:is>
          <x:t xml:space="preserve">필요 시 1회 노출</x:t>
        </x:is>
      </x:c>
    </x:row>
    <x:row r="25" ht="38" customHeight="1">
      <x:c r="A25" s="28" t="inlineStr">
        <x:is>
          <x:t xml:space="preserve">earlyRecoveryShopOfferCount</x:t>
        </x:is>
      </x:c>
      <x:c r="B25" s="32" t="inlineStr">
        <x:is>
          <x:t xml:space="preserve">3개</x:t>
        </x:is>
      </x:c>
      <x:c r="C25" s="33" t="inlineStr">
        <x:is>
          <x:t xml:space="preserve">회복 선택이 너무 강할 때 2개</x:t>
        </x:is>
      </x:c>
      <x:c r="D25" s="29" t="inlineStr">
        <x:is>
          <x:t xml:space="preserve">회복 대응이 부족할 때 3 유지</x:t>
        </x:is>
      </x:c>
      <x:c r="E25" s="28" t="inlineStr">
        <x:is>
          <x:t xml:space="preserve">RunShopSystem</x:t>
        </x:is>
      </x:c>
      <x:c r="F25" s="28" t="inlineStr">
        <x:is>
          <x:t xml:space="preserve">RecoveryGold는 고정 포함</x:t>
        </x:is>
      </x:c>
    </x:row>
    <x:row r="26" ht="38" customHeight="1">
      <x:c r="A26" s="28" t="inlineStr">
        <x:is>
          <x:t xml:space="preserve">earlyPityEpicChance</x:t>
        </x:is>
      </x:c>
      <x:c r="B26" s="32" t="inlineStr">
        <x:is>
          <x:t xml:space="preserve">35%</x:t>
        </x:is>
      </x:c>
      <x:c r="C26" s="33" t="inlineStr">
        <x:is>
          <x:t xml:space="preserve">초반 고점이 과할 때</x:t>
        </x:is>
      </x:c>
      <x:c r="D26" s="29" t="inlineStr">
        <x:is>
          <x:t xml:space="preserve">첫 5분 고점이 부족할 때</x:t>
        </x:is>
      </x:c>
      <x:c r="E26" s="28" t="inlineStr">
        <x:is>
          <x:t xml:space="preserve">DefenseGameController</x:t>
        </x:is>
      </x:c>
      <x:c r="F26" s="28" t="inlineStr">
        <x:is>
          <x:t xml:space="preserve">첫 2회 Rare+ 보장과 같이 판단</x:t>
        </x:is>
      </x:c>
    </x:row>
  </x:sheetData>
  <x:mergeCells>
    <x:mergeCell ref="A19:F19"/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14" customWidth="1"/>
    <x:col min="3" max="3" width="28" customWidth="1"/>
    <x:col min="4" max="4" width="16" customWidth="1"/>
    <x:col min="5" max="5" width="42" customWidth="1"/>
    <x:col min="6" max="6" width="38" customWidth="1"/>
  </x:cols>
  <x:sheetData>
    <x:row r="1" ht="30" customHeight="1">
      <x:c r="A1" s="1" t="inlineStr">
        <x:is>
          <x:t xml:space="preserve">등급 체계</x:t>
        </x:is>
      </x:c>
      <x:c r="B1" s="2" t="n"/>
      <x:c r="C1" s="2" t="n"/>
      <x:c r="D1" s="2" t="n"/>
      <x:c r="E1" s="2" t="n"/>
      <x:c r="F1" s="3" t="n"/>
    </x:row>
    <x:row r="2" ht="22" customHeight="1">
      <x:c r="A2" s="4" t="inlineStr">
        <x:is>
          <x:t xml:space="preserve">코드 enum과 서비스 표시명을 한 곳에서 확인</x:t>
        </x:is>
      </x:c>
      <x:c r="B2" s="5" t="n"/>
      <x:c r="C2" s="5" t="n"/>
      <x:c r="D2" s="5" t="n"/>
      <x:c r="E2" s="5" t="n"/>
      <x:c r="F2" s="6" t="n"/>
    </x:row>
    <x:row r="3">
      <x:c r="A3" s="7" t="n"/>
      <x:c r="B3" s="7" t="n"/>
      <x:c r="C3" s="7" t="n"/>
      <x:c r="D3" s="7" t="n"/>
      <x:c r="E3" s="7" t="n"/>
      <x:c r="F3" s="7" t="n"/>
    </x:row>
    <x:row r="4" ht="28" customHeight="1">
      <x:c r="A4" s="8" t="inlineStr">
        <x:is>
          <x:t xml:space="preserve">코드</x:t>
        </x:is>
      </x:c>
      <x:c r="B4" s="8" t="inlineStr">
        <x:is>
          <x:t xml:space="preserve">표시명</x:t>
        </x:is>
      </x:c>
      <x:c r="C4" s="8" t="inlineStr">
        <x:is>
          <x:t xml:space="preserve">역할</x:t>
        </x:is>
      </x:c>
      <x:c r="D4" s="8" t="inlineStr">
        <x:is>
          <x:t xml:space="preserve">기본 뽑기 확률</x:t>
        </x:is>
      </x:c>
      <x:c r="E4" s="8" t="inlineStr">
        <x:is>
          <x:t xml:space="preserve">진행 기준</x:t>
        </x:is>
      </x:c>
      <x:c r="F4" s="8" t="inlineStr">
        <x:is>
          <x:t xml:space="preserve">주의</x:t>
        </x:is>
      </x:c>
    </x:row>
    <x:row r="5" ht="36" customHeight="1">
      <x:c r="A5" s="9" t="inlineStr">
        <x:is>
          <x:t xml:space="preserve">Normal</x:t>
        </x:is>
      </x:c>
      <x:c r="B5" s="9" t="inlineStr">
        <x:is>
          <x:t xml:space="preserve">일반</x:t>
        </x:is>
      </x:c>
      <x:c r="C5" s="9" t="inlineStr">
        <x:is>
          <x:t xml:space="preserve">기본 등급</x:t>
        </x:is>
      </x:c>
      <x:c r="D5" s="11" t="n">
        <x:v>0.52</x:v>
      </x:c>
      <x:c r="E5" s="9" t="inlineStr">
        <x:is>
          <x:t xml:space="preserve">초반 재료/기본 전력</x:t>
        </x:is>
      </x:c>
      <x:c r="F5" s="9" t="inlineStr">
        <x:is>
          <x:t xml:space="preserve">2026-06-16 R1 기본 확률 기준</x:t>
        </x:is>
      </x:c>
    </x:row>
    <x:row r="6" ht="36" customHeight="1">
      <x:c r="A6" s="9" t="inlineStr">
        <x:is>
          <x:t xml:space="preserve">Rare</x:t>
        </x:is>
      </x:c>
      <x:c r="B6" s="9" t="inlineStr">
        <x:is>
          <x:t xml:space="preserve">레어</x:t>
        </x:is>
      </x:c>
      <x:c r="C6" s="9" t="inlineStr">
        <x:is>
          <x:t xml:space="preserve">초반 강화 등급</x:t>
        </x:is>
      </x:c>
      <x:c r="D6" s="11" t="n">
        <x:v>0.3</x:v>
      </x:c>
      <x:c r="E6" s="9" t="inlineStr">
        <x:is>
          <x:t xml:space="preserve">보스 1~2 전까지 보조 전력</x:t>
        </x:is>
      </x:c>
      <x:c r="F6" s="9" t="inlineStr">
        <x:is>
          <x:t xml:space="preserve">R1~5 초반 레어 체감 강화</x:t>
        </x:is>
      </x:c>
    </x:row>
    <x:row r="7" ht="36" customHeight="1">
      <x:c r="A7" s="9" t="inlineStr">
        <x:is>
          <x:t xml:space="preserve">Epic</x:t>
        </x:is>
      </x:c>
      <x:c r="B7" s="9" t="inlineStr">
        <x:is>
          <x:t xml:space="preserve">희귀</x:t>
        </x:is>
      </x:c>
      <x:c r="C7" s="9" t="inlineStr">
        <x:is>
          <x:t xml:space="preserve">첫 허들 기준 등급</x:t>
        </x:is>
      </x:c>
      <x:c r="D7" s="11" t="n">
        <x:v>0.14</x:v>
      </x:c>
      <x:c r="E7" s="9" t="inlineStr">
        <x:is>
          <x:t xml:space="preserve">보스 1은 희귀 1개면 클리어 흐름이 보임</x:t>
        </x:is>
      </x:c>
      <x:c r="F7" s="9" t="inlineStr">
        <x:is>
          <x:t xml:space="preserve">earlyPityEpicChance 12%와 함께 초반 고점 보정</x:t>
        </x:is>
      </x:c>
    </x:row>
    <x:row r="8" ht="36" customHeight="1">
      <x:c r="A8" s="9" t="inlineStr">
        <x:is>
          <x:t xml:space="preserve">Legendary</x:t>
        </x:is>
      </x:c>
      <x:c r="B8" s="9" t="inlineStr">
        <x:is>
          <x:t xml:space="preserve">전설</x:t>
        </x:is>
      </x:c>
      <x:c r="C8" s="9" t="inlineStr">
        <x:is>
          <x:t xml:space="preserve">중후반 안정 클리어 기준</x:t>
        </x:is>
      </x:c>
      <x:c r="D8" s="11" t="n">
        <x:v>0.035</x:v>
      </x:c>
      <x:c r="E8" s="9" t="inlineStr">
        <x:is>
          <x:t xml:space="preserve">보스 5쯤 전설 1개가 안정 기준</x:t>
        </x:is>
      </x:c>
      <x:c r="F8" s="9" t="inlineStr">
        <x:is>
          <x:t xml:space="preserve">R5 5%, R9 6%로 상승</x:t>
        </x:is>
      </x:c>
    </x:row>
    <x:row r="9" ht="36" customHeight="1">
      <x:c r="A9" s="9" t="inlineStr">
        <x:is>
          <x:t xml:space="preserve">Mythic</x:t>
        </x:is>
      </x:c>
      <x:c r="B9" s="9" t="inlineStr">
        <x:is>
          <x:t xml:space="preserve">신화</x:t>
        </x:is>
      </x:c>
      <x:c r="C9" s="9" t="inlineStr">
        <x:is>
          <x:t xml:space="preserve">상위 성장 등급</x:t>
        </x:is>
      </x:c>
      <x:c r="D9" s="11" t="n">
        <x:v>0.005</x:v>
      </x:c>
      <x:c r="E9" s="9" t="inlineStr">
        <x:is>
          <x:t xml:space="preserve">장기 성장 목표</x:t>
        </x:is>
      </x:c>
      <x:c r="F9" s="9" t="inlineStr">
        <x:is>
          <x:t xml:space="preserve">R5 1%, R9 2%로 상승</x:t>
        </x:is>
      </x:c>
    </x:row>
    <x:row r="10" ht="36" customHeight="1">
      <x:c r="A10" s="9" t="inlineStr">
        <x:is>
          <x:t xml:space="preserve">Transcendent</x:t>
        </x:is>
      </x:c>
      <x:c r="B10" s="9" t="inlineStr">
        <x:is>
          <x:t xml:space="preserve">초월</x:t>
        </x:is>
      </x:c>
      <x:c r="C10" s="9" t="inlineStr">
        <x:is>
          <x:t xml:space="preserve">최상위 조합/표시 등급</x:t>
        </x:is>
      </x:c>
      <x:c r="D10" s="11" t="n">
        <x:v>0</x:v>
      </x:c>
      <x:c r="E10" s="9" t="inlineStr">
        <x:is>
          <x:t xml:space="preserve">장기 조합 목표</x:t>
        </x:is>
      </x:c>
      <x:c r="F10" s="9" t="inlineStr">
        <x:is>
          <x:t xml:space="preserve">소환 직접 획득이 아니라 조합/장기 목표</x:t>
        </x:is>
      </x:c>
    </x:row>
    <x:row r="12">
      <x:c r="A12" s="31" t="inlineStr">
        <x:is>
          <x:t xml:space="preserve">소환 확률 마일스톤</x:t>
        </x:is>
      </x:c>
    </x:row>
    <x:row r="13">
      <x:c r="A13" s="27" t="inlineStr">
        <x:is>
          <x:t xml:space="preserve">라운드</x:t>
        </x:is>
      </x:c>
      <x:c r="B13" s="27" t="inlineStr">
        <x:is>
          <x:t xml:space="preserve">일반</x:t>
        </x:is>
      </x:c>
      <x:c r="C13" s="27" t="inlineStr">
        <x:is>
          <x:t xml:space="preserve">레어</x:t>
        </x:is>
      </x:c>
      <x:c r="D13" s="27" t="inlineStr">
        <x:is>
          <x:t xml:space="preserve">희귀</x:t>
        </x:is>
      </x:c>
      <x:c r="E13" s="27" t="inlineStr">
        <x:is>
          <x:t xml:space="preserve">전설</x:t>
        </x:is>
      </x:c>
      <x:c r="F13" s="27" t="inlineStr">
        <x:is>
          <x:t xml:space="preserve">신화</x:t>
        </x:is>
      </x:c>
    </x:row>
    <x:row r="14">
      <x:c r="A14" s="28" t="n">
        <x:v>1</x:v>
      </x:c>
      <x:c r="B14" s="34" t="n">
        <x:v>0.52</x:v>
      </x:c>
      <x:c r="C14" s="34" t="n">
        <x:v>0.3</x:v>
      </x:c>
      <x:c r="D14" s="34" t="n">
        <x:v>0.14</x:v>
      </x:c>
      <x:c r="E14" s="34" t="n">
        <x:v>0.035</x:v>
      </x:c>
      <x:c r="F14" s="34" t="n">
        <x:v>0.005</x:v>
      </x:c>
    </x:row>
    <x:row r="15">
      <x:c r="A15" s="28" t="n">
        <x:v>5</x:v>
      </x:c>
      <x:c r="B15" s="34" t="n">
        <x:v>0.46</x:v>
      </x:c>
      <x:c r="C15" s="34" t="n">
        <x:v>0.31</x:v>
      </x:c>
      <x:c r="D15" s="34" t="n">
        <x:v>0.17</x:v>
      </x:c>
      <x:c r="E15" s="34" t="n">
        <x:v>0.05</x:v>
      </x:c>
      <x:c r="F15" s="34" t="n">
        <x:v>0.01</x:v>
      </x:c>
    </x:row>
    <x:row r="16">
      <x:c r="A16" s="28" t="n">
        <x:v>9</x:v>
      </x:c>
      <x:c r="B16" s="34" t="n">
        <x:v>0.4</x:v>
      </x:c>
      <x:c r="C16" s="34" t="n">
        <x:v>0.33</x:v>
      </x:c>
      <x:c r="D16" s="34" t="n">
        <x:v>0.19</x:v>
      </x:c>
      <x:c r="E16" s="34" t="n">
        <x:v>0.06</x:v>
      </x:c>
      <x:c r="F16" s="34" t="n">
        <x:v>0.02</x:v>
      </x:c>
    </x:row>
    <x:row r="17">
      <x:c r="A17" s="28" t="n">
        <x:v>13</x:v>
      </x:c>
      <x:c r="B17" s="34" t="n">
        <x:v>0.42</x:v>
      </x:c>
      <x:c r="C17" s="34" t="n">
        <x:v>0.32</x:v>
      </x:c>
      <x:c r="D17" s="34" t="n">
        <x:v>0.18</x:v>
      </x:c>
      <x:c r="E17" s="34" t="n">
        <x:v>0.065</x:v>
      </x:c>
      <x:c r="F17" s="34" t="n">
        <x:v>0.015</x:v>
      </x:c>
    </x:row>
    <x:row r="18">
      <x:c r="A18" s="28" t="n">
        <x:v>17</x:v>
      </x:c>
      <x:c r="B18" s="34" t="n">
        <x:v>0.36</x:v>
      </x:c>
      <x:c r="C18" s="34" t="n">
        <x:v>0.32</x:v>
      </x:c>
      <x:c r="D18" s="34" t="n">
        <x:v>0.21</x:v>
      </x:c>
      <x:c r="E18" s="34" t="n">
        <x:v>0.08</x:v>
      </x:c>
      <x:c r="F18" s="34" t="n">
        <x:v>0.03</x:v>
      </x:c>
    </x:row>
  </x:sheetData>
  <x:mergeCells>
    <x:mergeCell ref="A12:F12"/>
  </x:mergeCells>
  <x:pageMargins left="0.7" right="0.7" top="0.75" bottom="0.75" header="0.3" footer="0.3"/>
  <x:tableParts count="1">
    <x:tablePart xmlns:r="http://schemas.openxmlformats.org/officeDocument/2006/relationships" r:id="R24ff0f3866db4609"/>
  </x:tableParts>
</x:worksheet>
</file>

<file path=xl/worksheets/sheet4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22" customWidth="1"/>
    <x:col min="4" max="4" width="18" customWidth="1"/>
    <x:col min="5" max="5" width="54" customWidth="1"/>
    <x:col min="6" max="6" width="18" customWidth="1"/>
    <x:col min="7" max="7" width="22" customWidth="1"/>
    <x:col min="8" max="8" width="28" customWidth="1"/>
    <x:col min="9" max="9" width="34" customWidth="1"/>
    <x:col min="10" max="10" width="42" customWidth="1"/>
    <x:col min="11" max="11" width="34" customWidth="1"/>
    <x:col min="12" max="12" width="42" customWidth="1"/>
    <x:col min="13" max="13" width="34" customWidth="1"/>
  </x:cols>
  <x:sheetData>
    <x:row r="1" ht="28" customHeight="1">
      <x:c r="A1" s="1" t="inlineStr">
        <x:is>
          <x:t xml:space="preserve">hero 스킬 - 장기 등급 번호 적용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  <x:c r="L1" s="35" t="n"/>
      <x:c r="M1" s="35" t="n"/>
    </x:row>
    <x:row r="2" ht="24" customHeight="1">
      <x:c r="A2" t="inlineStr">
        <x:is>
          <x:t xml:space="preserve">기준</x:t>
        </x:is>
      </x:c>
      <x:c r="B2" t="inlineStr">
        <x:is>
          <x:t xml:space="preserve">프리팹이름 -&gt; 변경된영웅번호</x:t>
        </x:is>
      </x:c>
      <x:c r="C2" t="inlineStr">
        <x:is>
          <x:t xml:space="preserve">적용일</x:t>
        </x:is>
      </x:c>
      <x:c r="D2" t="inlineStr">
        <x:is>
          <x:t xml:space="preserve">2026-06-30</x:t>
        </x:is>
      </x:c>
      <x:c r="E2" t="inlineStr">
        <x:is>
          <x:t xml:space="preserve">비고</x:t>
        </x:is>
      </x:c>
      <x:c r="F2" t="inlineStr">
        <x:is>
          <x:t xml:space="preserve">hero_55~57 초월 확정 / 몬스터 전투 시트 추가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</x:t>
        </x:is>
      </x:c>
      <x:c r="C4" s="1" t="inlineStr">
        <x:is>
          <x:t xml:space="preserve">프리팹 이름</x:t>
        </x:is>
      </x:c>
      <x:c r="D4" s="1" t="inlineStr">
        <x:is>
          <x:t xml:space="preserve">스킬명</x:t>
        </x:is>
      </x:c>
      <x:c r="E4" s="1" t="inlineStr">
        <x:is>
          <x:t xml:space="preserve">효과 요약</x:t>
        </x:is>
      </x:c>
      <x:c r="F4" s="1" t="inlineStr">
        <x:is>
          <x:t xml:space="preserve">기본 핵심 수치</x:t>
        </x:is>
      </x:c>
      <x:c r="G4" s="1" t="inlineStr">
        <x:is>
          <x:t xml:space="preserve">성장 대상</x:t>
        </x:is>
      </x:c>
      <x:c r="H4" s="1" t="inlineStr">
        <x:is>
          <x:t xml:space="preserve">효과 타입/구현</x:t>
        </x:is>
      </x:c>
      <x:c r="I4" s="1" t="inlineStr">
        <x:is>
          <x:t xml:space="preserve">권장 이벤트/타이밍</x:t>
        </x:is>
      </x:c>
      <x:c r="J4" s="1" t="inlineStr">
        <x:is>
          <x:t xml:space="preserve">메모</x:t>
        </x:is>
      </x:c>
      <x:c r="K4" s="1" t="inlineStr">
        <x:is>
          <x:t xml:space="preserve">평타 데미지(Lv1)</x:t>
        </x:is>
      </x:c>
      <x:c r="L4" s="1" t="inlineStr">
        <x:is>
          <x:t xml:space="preserve">스킬 데미지/효과(Lv1)</x:t>
        </x:is>
      </x:c>
      <x:c r="M4" s="1" t="inlineStr">
        <x:is>
          <x:t xml:space="preserve">데미지/성장 메모</x:t>
        </x:is>
      </x:c>
    </x:row>
    <x:row r="5" ht="28" customHeight="1">
      <x:c r="A5" t="inlineStr">
        <x:is>
          <x:t xml:space="preserve">일반</x:t>
        </x:is>
      </x:c>
      <x:c r="B5" t="inlineStr">
        <x:is>
          <x:t xml:space="preserve">hero_01</x:t>
        </x:is>
      </x:c>
      <x:c r="C5" t="inlineStr">
        <x:is>
          <x:t xml:space="preserve">dice_fire</x:t>
        </x:is>
      </x:c>
      <x:c r="D5" t="inlineStr">
        <x:is>
          <x:t xml:space="preserve">폭발 범위공격</x:t>
        </x:is>
      </x:c>
      <x:c r="E5" t="inlineStr">
        <x:is>
          <x:t xml:space="preserve">3m 반경 적에게 공격력 200% 광역 피해</x:t>
        </x:is>
      </x:c>
      <x:c r="F5" t="inlineStr">
        <x:is>
          <x:t xml:space="preserve">200%, 3m</x:t>
        </x:is>
      </x:c>
      <x:c r="G5" t="inlineStr">
        <x:is>
          <x:t xml:space="preserve">피해량</x:t>
        </x:is>
      </x:c>
      <x:c r="H5" t="inlineStr">
        <x:is>
          <x:t xml:space="preserve">AreaDamage</x:t>
        </x:is>
      </x:c>
      <x:c r="I5" t="inlineStr">
        <x:is>
          <x:t xml:space="preserve">SkillApply</x:t>
        </x:is>
      </x:c>
      <x:c r="J5" t="inlineStr">
        <x:is>
          <x:t xml:space="preserve">초반 시원한 승리감 담당</x:t>
        </x:is>
      </x:c>
      <x:c r="K5" t="inlineStr">
        <x:is>
          <x:t xml:space="preserve">9.9 (공격력 100%, 근거리 4m)</x:t>
        </x:is>
      </x:c>
      <x:c r="L5" t="inlineStr">
        <x:is>
          <x:t xml:space="preserve">19.8 (공격력 200%, 3m 광역)</x:t>
        </x:is>
      </x:c>
      <x:c r="M5" t="inlineStr">
        <x:is>
          <x:t xml:space="preserve">피해량 성장</x:t>
        </x:is>
      </x:c>
    </x:row>
    <x:row r="6" ht="28" customHeight="1">
      <x:c r="A6" t="inlineStr">
        <x:is>
          <x:t xml:space="preserve">일반</x:t>
        </x:is>
      </x:c>
      <x:c r="B6" t="inlineStr">
        <x:is>
          <x:t xml:space="preserve">hero_02</x:t>
        </x:is>
      </x:c>
      <x:c r="C6" t="inlineStr">
        <x:is>
          <x:t xml:space="preserve">dice_heal</x:t>
        </x:is>
      </x:c>
      <x:c r="D6" t="inlineStr">
        <x:is>
          <x:t xml:space="preserve">이중 회복</x:t>
        </x:is>
      </x:c>
      <x:c r="E6" t="inlineStr">
        <x:is>
          <x:t xml:space="preserve">체력이 낮은 아군 2명에게 최대 체력 30% 회복</x:t>
        </x:is>
      </x:c>
      <x:c r="F6" t="inlineStr">
        <x:is>
          <x:t xml:space="preserve">30%, 2명</x:t>
        </x:is>
      </x:c>
      <x:c r="G6" t="inlineStr">
        <x:is>
          <x:t xml:space="preserve">회복량</x:t>
        </x:is>
      </x:c>
      <x:c r="H6" t="inlineStr">
        <x:is>
          <x:t xml:space="preserve">HealLowestAllies</x:t>
        </x:is>
      </x:c>
      <x:c r="I6" t="inlineStr">
        <x:is>
          <x:t xml:space="preserve">SkillApply</x:t>
        </x:is>
      </x:c>
      <x:c r="J6" t="inlineStr">
        <x:is>
          <x:t xml:space="preserve">힐 FX/상태 표시 필요</x:t>
        </x:is>
      </x:c>
      <x:c r="K6" t="inlineStr">
        <x:is>
          <x:t xml:space="preserve">10.0 (공격력 100%, 원거리 6m)</x:t>
        </x:is>
      </x:c>
      <x:c r="L6" t="inlineStr">
        <x:is>
          <x:t xml:space="preserve">피해 없음 / 아군 2명 최대체력 30% 회복</x:t>
        </x:is>
      </x:c>
      <x:c r="M6" t="inlineStr">
        <x:is>
          <x:t xml:space="preserve">회복량 성장</x:t>
        </x:is>
      </x:c>
    </x:row>
    <x:row r="7" ht="28" customHeight="1">
      <x:c r="A7" t="inlineStr">
        <x:is>
          <x:t xml:space="preserve">일반</x:t>
        </x:is>
      </x:c>
      <x:c r="B7" t="inlineStr">
        <x:is>
          <x:t xml:space="preserve">hero_03</x:t>
        </x:is>
      </x:c>
      <x:c r="C7" t="inlineStr">
        <x:is>
          <x:t xml:space="preserve">dice_ice</x:t>
        </x:is>
      </x:c>
      <x:c r="D7" t="inlineStr">
        <x:is>
          <x:t xml:space="preserve">약화 사격</x:t>
        </x:is>
      </x:c>
      <x:c r="E7" t="inlineStr">
        <x:is>
          <x:t xml:space="preserve">공격력 150% 피해 + 5초 동안 이속/공속 40% 감소</x:t>
        </x:is>
      </x:c>
      <x:c r="F7" t="inlineStr">
        <x:is>
          <x:t xml:space="preserve">40%, 5초</x:t>
        </x:is>
      </x:c>
      <x:c r="G7" t="inlineStr">
        <x:is>
          <x:t xml:space="preserve">감속률</x:t>
        </x:is>
      </x:c>
      <x:c r="H7" t="inlineStr">
        <x:is>
          <x:t xml:space="preserve">DamageSlow</x:t>
        </x:is>
      </x:c>
      <x:c r="I7" t="inlineStr">
        <x:is>
          <x:t xml:space="preserve">SkillHit 또는 SkillApply</x:t>
        </x:is>
      </x:c>
      <x:c r="J7" t="inlineStr">
        <x:is>
          <x:t xml:space="preserve">디버프 피드백 표시 필요</x:t>
        </x:is>
      </x:c>
      <x:c r="K7" t="inlineStr">
        <x:is>
          <x:t xml:space="preserve">13.8 (공격력 100%, 원거리 7m)</x:t>
        </x:is>
      </x:c>
      <x:c r="L7" t="inlineStr">
        <x:is>
          <x:t xml:space="preserve">20.6 (공격력 150%) + 5초 감속</x:t>
        </x:is>
      </x:c>
      <x:c r="M7" t="inlineStr">
        <x:is>
          <x:t xml:space="preserve">감속률 성장, 피해 150% 고정 기준</x:t>
        </x:is>
      </x:c>
    </x:row>
    <x:row r="8" ht="28" customHeight="1">
      <x:c r="A8" t="inlineStr">
        <x:is>
          <x:t xml:space="preserve">일반</x:t>
        </x:is>
      </x:c>
      <x:c r="B8" t="inlineStr">
        <x:is>
          <x:t xml:space="preserve">hero_04</x:t>
        </x:is>
      </x:c>
      <x:c r="C8" t="inlineStr">
        <x:is>
          <x:t xml:space="preserve">dice_poison</x:t>
        </x:is>
      </x:c>
      <x:c r="D8" t="inlineStr">
        <x:is>
          <x:t xml:space="preserve">독화살</x:t>
        </x:is>
      </x:c>
      <x:c r="E8" t="inlineStr">
        <x:is>
          <x:t xml:space="preserve">독화살을 발사해 7초 동안 적에게 초당 50 피해</x:t>
        </x:is>
      </x:c>
      <x:c r="F8" t="inlineStr">
        <x:is>
          <x:t xml:space="preserve">50 DPS, 7초</x:t>
        </x:is>
      </x:c>
      <x:c r="G8" t="inlineStr">
        <x:is>
          <x:t xml:space="preserve">초당 피해</x:t>
        </x:is>
      </x:c>
      <x:c r="H8" t="inlineStr">
        <x:is>
          <x:t xml:space="preserve">FixedPoison</x:t>
        </x:is>
      </x:c>
      <x:c r="I8" t="inlineStr">
        <x:is>
          <x:t xml:space="preserve">SkillFire 또는 SkillHit</x:t>
        </x:is>
      </x:c>
      <x:c r="J8" t="inlineStr">
        <x:is>
          <x:t xml:space="preserve">독 상태 표시 필요</x:t>
        </x:is>
      </x:c>
      <x:c r="K8" t="inlineStr">
        <x:is>
          <x:t xml:space="preserve">12.0 (공격력 100%, 원거리 6m)</x:t>
        </x:is>
      </x:c>
      <x:c r="L8" t="inlineStr">
        <x:is>
          <x:t xml:space="preserve">고정 50 DPS x 7초 = 총 350</x:t>
        </x:is>
      </x:c>
      <x:c r="M8" t="inlineStr">
        <x:is>
          <x:t xml:space="preserve">초당 피해 성장</x:t>
        </x:is>
      </x:c>
    </x:row>
    <x:row r="9" ht="28" customHeight="1">
      <x:c r="A9" t="inlineStr">
        <x:is>
          <x:t xml:space="preserve">일반</x:t>
        </x:is>
      </x:c>
      <x:c r="B9" t="inlineStr">
        <x:is>
          <x:t xml:space="preserve">hero_05</x:t>
        </x:is>
      </x:c>
      <x:c r="C9" t="inlineStr">
        <x:is>
          <x:t xml:space="preserve">dice_shield</x:t>
        </x:is>
      </x:c>
      <x:c r="D9" t="inlineStr">
        <x:is>
          <x:t xml:space="preserve">철벽 방어막</x:t>
        </x:is>
      </x:c>
      <x:c r="E9" t="inlineStr">
        <x:is>
          <x:t xml:space="preserve">최대 체력의 100% 방어막 생성</x:t>
        </x:is>
      </x:c>
      <x:c r="F9" t="inlineStr">
        <x:is>
          <x:t xml:space="preserve">100%</x:t>
        </x:is>
      </x:c>
      <x:c r="G9" t="inlineStr">
        <x:is>
          <x:t xml:space="preserve">방어막량</x:t>
        </x:is>
      </x:c>
      <x:c r="H9" t="inlineStr">
        <x:is>
          <x:t xml:space="preserve">DefenseBuff</x:t>
        </x:is>
      </x:c>
      <x:c r="I9" t="inlineStr">
        <x:is>
          <x:t xml:space="preserve">SkillApply</x:t>
        </x:is>
      </x:c>
      <x:c r="J9" t="inlineStr">
        <x:is>
          <x:t xml:space="preserve">보호막 바/이펙트 표시</x:t>
        </x:is>
      </x:c>
      <x:c r="K9" t="inlineStr">
        <x:is>
          <x:t xml:space="preserve">9.9 (공격력 100%, 근거리 3m)</x:t>
        </x:is>
      </x:c>
      <x:c r="L9" t="inlineStr">
        <x:is>
          <x:t xml:space="preserve">피해 없음 / 최대체력 100% 방어막</x:t>
        </x:is>
      </x:c>
      <x:c r="M9" t="inlineStr">
        <x:is>
          <x:t xml:space="preserve">방어막량 성장</x:t>
        </x:is>
      </x:c>
    </x:row>
    <x:row r="10" ht="28" customHeight="1">
      <x:c r="A10" t="inlineStr">
        <x:is>
          <x:t xml:space="preserve">레어</x:t>
        </x:is>
      </x:c>
      <x:c r="B10" t="inlineStr">
        <x:is>
          <x:t xml:space="preserve">hero_06</x:t>
        </x:is>
      </x:c>
      <x:c r="C10" t="inlineStr">
        <x:is>
          <x:t xml:space="preserve">dice_assault</x:t>
        </x:is>
      </x:c>
      <x:c r="D10" t="inlineStr">
        <x:is>
          <x:t xml:space="preserve">관통 창격</x:t>
        </x:is>
      </x:c>
      <x:c r="E10" t="inlineStr">
        <x:is>
          <x:t xml:space="preserve">전방 5m 적들에게 공격력 200% 관통 피해</x:t>
        </x:is>
      </x:c>
      <x:c r="F10" t="inlineStr">
        <x:is>
          <x:t xml:space="preserve">200%, 5m</x:t>
        </x:is>
      </x:c>
      <x:c r="G10" t="inlineStr">
        <x:is>
          <x:t xml:space="preserve">피해량</x:t>
        </x:is>
      </x:c>
      <x:c r="H10" t="inlineStr">
        <x:is>
          <x:t xml:space="preserve">LinePierceDamage</x:t>
        </x:is>
      </x:c>
      <x:c r="I10" t="inlineStr">
        <x:is>
          <x:t xml:space="preserve">SkillHit 또는 SkillApply</x:t>
        </x:is>
      </x:c>
      <x:c r="J10" t="inlineStr">
        <x:is>
          <x:t xml:space="preserve">뒤에 있는 적까지 공격</x:t>
        </x:is>
      </x:c>
      <x:c r="K10" t="inlineStr">
        <x:is>
          <x:t xml:space="preserve">17.6 (공격력 100%, 근거리 3m)</x:t>
        </x:is>
      </x:c>
      <x:c r="L10" t="inlineStr">
        <x:is>
          <x:t xml:space="preserve">35.2 (공격력 200%, 전방 5m 관통)</x:t>
        </x:is>
      </x:c>
      <x:c r="M10" t="inlineStr">
        <x:is>
          <x:t xml:space="preserve">피해량 성장</x:t>
        </x:is>
      </x:c>
    </x:row>
    <x:row r="11" ht="28" customHeight="1">
      <x:c r="A11" t="inlineStr">
        <x:is>
          <x:t xml:space="preserve">레어</x:t>
        </x:is>
      </x:c>
      <x:c r="B11" t="inlineStr">
        <x:is>
          <x:t xml:space="preserve">hero_07</x:t>
        </x:is>
      </x:c>
      <x:c r="C11" t="inlineStr">
        <x:is>
          <x:t xml:space="preserve">Dice_Death</x:t>
        </x:is>
      </x:c>
      <x:c r="D11" t="inlineStr">
        <x:is>
          <x:t xml:space="preserve">생명 파열</x:t>
        </x:is>
      </x:c>
      <x:c r="E11" t="inlineStr">
        <x:is>
          <x:t xml:space="preserve">적 현재 체력의 40% 피해</x:t>
        </x:is>
      </x:c>
      <x:c r="F11" t="inlineStr">
        <x:is>
          <x:t xml:space="preserve">40%</x:t>
        </x:is>
      </x:c>
      <x:c r="G11" t="inlineStr">
        <x:is>
          <x:t xml:space="preserve">피해량</x:t>
        </x:is>
      </x:c>
      <x:c r="H11" t="inlineStr">
        <x:is>
          <x:t xml:space="preserve">PercentHealthDamage</x:t>
        </x:is>
      </x:c>
      <x:c r="I11" t="inlineStr">
        <x:is>
          <x:t xml:space="preserve">SkillApply</x:t>
        </x:is>
      </x:c>
      <x:c r="J11" t="inlineStr">
        <x:is>
          <x:t xml:space="preserve">보스에는 필요 시 보정 적용</x:t>
        </x:is>
      </x:c>
      <x:c r="K11" t="inlineStr">
        <x:is>
          <x:t xml:space="preserve">17.0 (공격력 100%, 근거리 3m)</x:t>
        </x:is>
      </x:c>
      <x:c r="L11" t="inlineStr">
        <x:is>
          <x:t xml:space="preserve">적 현재 체력 40% 피해</x:t>
        </x:is>
      </x:c>
      <x:c r="M11" t="inlineStr">
        <x:is>
          <x:t xml:space="preserve">비례 피해 성장</x:t>
        </x:is>
      </x:c>
    </x:row>
    <x:row r="12" ht="28" customHeight="1">
      <x:c r="A12" t="inlineStr">
        <x:is>
          <x:t xml:space="preserve">레어</x:t>
        </x:is>
      </x:c>
      <x:c r="B12" t="inlineStr">
        <x:is>
          <x:t xml:space="preserve">hero_08</x:t>
        </x:is>
      </x:c>
      <x:c r="C12" t="inlineStr">
        <x:is>
          <x:t xml:space="preserve">Dice_Medusa</x:t>
        </x:is>
      </x:c>
      <x:c r="D12" t="inlineStr">
        <x:is>
          <x:t xml:space="preserve">석화 찌르기</x:t>
        </x:is>
      </x:c>
      <x:c r="E12" t="inlineStr">
        <x:is>
          <x:t xml:space="preserve">전방 3m 적을 석상으로 만들어 5초 행동 불가</x:t>
        </x:is>
      </x:c>
      <x:c r="F12" t="inlineStr">
        <x:is>
          <x:t xml:space="preserve">5초, 3m</x:t>
        </x:is>
      </x:c>
      <x:c r="G12" t="inlineStr">
        <x:is>
          <x:t xml:space="preserve">석화 시간</x:t>
        </x:is>
      </x:c>
      <x:c r="H12" t="inlineStr">
        <x:is>
          <x:t xml:space="preserve">StoneLine</x:t>
        </x:is>
      </x:c>
      <x:c r="I12" t="inlineStr">
        <x:is>
          <x:t xml:space="preserve">SkillApply</x:t>
        </x:is>
      </x:c>
      <x:c r="J12" t="inlineStr">
        <x:is>
          <x:t xml:space="preserve">석상 시각 피드백 중요</x:t>
        </x:is>
      </x:c>
      <x:c r="K12" t="inlineStr">
        <x:is>
          <x:t xml:space="preserve">22.5 (공격력 100%, 원거리 5m)</x:t>
        </x:is>
      </x:c>
      <x:c r="L12" t="inlineStr">
        <x:is>
          <x:t xml:space="preserve">피해 없음 / 전방 3m 5초 석화</x:t>
        </x:is>
      </x:c>
      <x:c r="M12" t="inlineStr">
        <x:is>
          <x:t xml:space="preserve">석화 시간 성장</x:t>
        </x:is>
      </x:c>
    </x:row>
    <x:row r="13" ht="28" customHeight="1">
      <x:c r="A13" t="inlineStr">
        <x:is>
          <x:t xml:space="preserve">레어</x:t>
        </x:is>
      </x:c>
      <x:c r="B13" t="inlineStr">
        <x:is>
          <x:t xml:space="preserve">hero_09</x:t>
        </x:is>
      </x:c>
      <x:c r="C13" t="inlineStr">
        <x:is>
          <x:t xml:space="preserve">Dice_Spear</x:t>
        </x:is>
      </x:c>
      <x:c r="D13" t="inlineStr">
        <x:is>
          <x:t xml:space="preserve">전방 참격</x:t>
        </x:is>
      </x:c>
      <x:c r="E13" t="inlineStr">
        <x:is>
          <x:t xml:space="preserve">전방 5m 모든 적에게 공격력 200% 피해</x:t>
        </x:is>
      </x:c>
      <x:c r="F13" t="inlineStr">
        <x:is>
          <x:t xml:space="preserve">200%, 5m</x:t>
        </x:is>
      </x:c>
      <x:c r="G13" t="inlineStr">
        <x:is>
          <x:t xml:space="preserve">피해량</x:t>
        </x:is>
      </x:c>
      <x:c r="H13" t="inlineStr">
        <x:is>
          <x:t xml:space="preserve">LinePierceDamage</x:t>
        </x:is>
      </x:c>
      <x:c r="I13" t="inlineStr">
        <x:is>
          <x:t xml:space="preserve">SkillHit 또는 SkillApply</x:t>
        </x:is>
      </x:c>
      <x:c r="J13" t="inlineStr">
        <x:is>
          <x:t xml:space="preserve">전방 범위 시각화 권장</x:t>
        </x:is>
      </x:c>
      <x:c r="K13" t="inlineStr">
        <x:is>
          <x:t xml:space="preserve">16.5 (공격력 100%, 근거리 4m)</x:t>
        </x:is>
      </x:c>
      <x:c r="L13" t="inlineStr">
        <x:is>
          <x:t xml:space="preserve">33.0 (공격력 200%, 전방 5m)</x:t>
        </x:is>
      </x:c>
      <x:c r="M13" t="inlineStr">
        <x:is>
          <x:t xml:space="preserve">피해량 성장</x:t>
        </x:is>
      </x:c>
    </x:row>
    <x:row r="14" ht="28" customHeight="1">
      <x:c r="A14" t="inlineStr">
        <x:is>
          <x:t xml:space="preserve">레어</x:t>
        </x:is>
      </x:c>
      <x:c r="B14" t="inlineStr">
        <x:is>
          <x:t xml:space="preserve">hero_10</x:t>
        </x:is>
      </x:c>
      <x:c r="C14" t="inlineStr">
        <x:is>
          <x:t xml:space="preserve">dice_wind</x:t>
        </x:is>
      </x:c>
      <x:c r="D14" t="inlineStr">
        <x:is>
          <x:t xml:space="preserve">초고속 가속</x:t>
        </x:is>
      </x:c>
      <x:c r="E14" t="inlineStr">
        <x:is>
          <x:t xml:space="preserve">7초 동안 공격속도 300% 증가</x:t>
        </x:is>
      </x:c>
      <x:c r="F14" t="inlineStr">
        <x:is>
          <x:t xml:space="preserve">7초</x:t>
        </x:is>
      </x:c>
      <x:c r="G14" t="inlineStr">
        <x:is>
          <x:t xml:space="preserve">지속 시간</x:t>
        </x:is>
      </x:c>
      <x:c r="H14" t="inlineStr">
        <x:is>
          <x:t xml:space="preserve">AttackSpeedBoost</x:t>
        </x:is>
      </x:c>
      <x:c r="I14" t="inlineStr">
        <x:is>
          <x:t xml:space="preserve">SkillApply</x:t>
        </x:is>
      </x:c>
      <x:c r="J14" t="inlineStr">
        <x:is>
          <x:t xml:space="preserve">강한 자기 버스트</x:t>
        </x:is>
      </x:c>
      <x:c r="K14" t="inlineStr">
        <x:is>
          <x:t xml:space="preserve">16.0 (공격력 100%, 원거리 8m)</x:t>
        </x:is>
      </x:c>
      <x:c r="L14" t="inlineStr">
        <x:is>
          <x:t xml:space="preserve">피해 없음 / 7초 공속 +300%</x:t>
        </x:is>
      </x:c>
      <x:c r="M14" t="inlineStr">
        <x:is>
          <x:t xml:space="preserve">지속 시간 성장</x:t>
        </x:is>
      </x:c>
    </x:row>
    <x:row r="15" ht="28" customHeight="1">
      <x:c r="A15" t="inlineStr">
        <x:is>
          <x:t xml:space="preserve">희귀</x:t>
        </x:is>
      </x:c>
      <x:c r="B15" t="inlineStr">
        <x:is>
          <x:t xml:space="preserve">hero_11</x:t>
        </x:is>
      </x:c>
      <x:c r="C15" t="inlineStr">
        <x:is>
          <x:t xml:space="preserve">Dice_Absorption</x:t>
        </x:is>
      </x:c>
      <x:c r="D15" t="inlineStr">
        <x:is>
          <x:t xml:space="preserve">체력 흡수</x:t>
        </x:is>
      </x:c>
      <x:c r="E15" t="inlineStr">
        <x:is>
          <x:t xml:space="preserve">적 현재 체력 20%를 흡수해 내 체력으로 전환</x:t>
        </x:is>
      </x:c>
      <x:c r="F15" t="inlineStr">
        <x:is>
          <x:t xml:space="preserve">20%</x:t>
        </x:is>
      </x:c>
      <x:c r="G15" t="inlineStr">
        <x:is>
          <x:t xml:space="preserve">흡수량</x:t>
        </x:is>
      </x:c>
      <x:c r="H15" t="inlineStr">
        <x:is>
          <x:t xml:space="preserve">HealthDrainPercent</x:t>
        </x:is>
      </x:c>
      <x:c r="I15" t="inlineStr">
        <x:is>
          <x:t xml:space="preserve">FireProjectile: 투사체 발사, 충돌 시 효과</x:t>
        </x:is>
      </x:c>
      <x:c r="J15" t="inlineStr">
        <x:is>
          <x:t xml:space="preserve">원거리 기본 공격은 CharacterCombatTuningConfig 기준</x:t>
        </x:is>
      </x:c>
      <x:c r="K15" t="inlineStr">
        <x:is>
          <x:t xml:space="preserve">23.0 (공격력 100%, 원거리 5.5m)</x:t>
        </x:is>
      </x:c>
      <x:c r="L15" t="inlineStr">
        <x:is>
          <x:t xml:space="preserve">적 현재 체력 20% 흡수/회복</x:t>
        </x:is>
      </x:c>
      <x:c r="M15" t="inlineStr">
        <x:is>
          <x:t xml:space="preserve">흡수량 성장</x:t>
        </x:is>
      </x:c>
    </x:row>
    <x:row r="16" ht="28" customHeight="1">
      <x:c r="A16" t="inlineStr">
        <x:is>
          <x:t xml:space="preserve">희귀</x:t>
        </x:is>
      </x:c>
      <x:c r="B16" t="inlineStr">
        <x:is>
          <x:t xml:space="preserve">hero_12</x:t>
        </x:is>
      </x:c>
      <x:c r="C16" t="inlineStr">
        <x:is>
          <x:t xml:space="preserve">Dice_Assassin</x:t>
        </x:is>
      </x:c>
      <x:c r="D16" t="inlineStr">
        <x:is>
          <x:t xml:space="preserve">강력한 일격</x:t>
        </x:is>
      </x:c>
      <x:c r="E16" t="inlineStr">
        <x:is>
          <x:t xml:space="preserve">공격력 300% 피해</x:t>
        </x:is>
      </x:c>
      <x:c r="F16" t="inlineStr">
        <x:is>
          <x:t xml:space="preserve">300%</x:t>
        </x:is>
      </x:c>
      <x:c r="G16" t="inlineStr">
        <x:is>
          <x:t xml:space="preserve">피해량</x:t>
        </x:is>
      </x:c>
      <x:c r="H16" t="inlineStr">
        <x:is>
          <x:t xml:space="preserve">DirectDamage</x:t>
        </x:is>
      </x:c>
      <x:c r="I16" t="inlineStr">
        <x:is>
          <x:t xml:space="preserve">SkillHit 또는 SkillApply</x:t>
        </x:is>
      </x:c>
      <x:c r="J16" t="inlineStr">
        <x:is>
          <x:t xml:space="preserve">단일 대상 고피해</x:t>
        </x:is>
      </x:c>
      <x:c r="K16" t="inlineStr">
        <x:is>
          <x:t xml:space="preserve">24.0 (공격력 100%, 근거리 2m)</x:t>
        </x:is>
      </x:c>
      <x:c r="L16" t="inlineStr">
        <x:is>
          <x:t xml:space="preserve">72.0 (공격력 300%)</x:t>
        </x:is>
      </x:c>
      <x:c r="M16" t="inlineStr">
        <x:is>
          <x:t xml:space="preserve">피해량 성장</x:t>
        </x:is>
      </x:c>
    </x:row>
    <x:row r="17" ht="28" customHeight="1">
      <x:c r="A17" t="inlineStr">
        <x:is>
          <x:t xml:space="preserve">희귀</x:t>
        </x:is>
      </x:c>
      <x:c r="B17" t="inlineStr">
        <x:is>
          <x:t xml:space="preserve">hero_13</x:t>
        </x:is>
      </x:c>
      <x:c r="C17" t="inlineStr">
        <x:is>
          <x:t xml:space="preserve">Dice_Battery</x:t>
        </x:is>
      </x:c>
      <x:c r="D17" t="inlineStr">
        <x:is>
          <x:t xml:space="preserve">마나 링크</x:t>
        </x:is>
      </x:c>
      <x:c r="E17" t="inlineStr">
        <x:is>
          <x:t xml:space="preserve">양옆 아군의 마나를 최대 마나의 30% 회복</x:t>
        </x:is>
      </x:c>
      <x:c r="F17" t="inlineStr">
        <x:is>
          <x:t xml:space="preserve">30%</x:t>
        </x:is>
      </x:c>
      <x:c r="G17" t="inlineStr">
        <x:is>
          <x:t xml:space="preserve">마나 회복량</x:t>
        </x:is>
      </x:c>
      <x:c r="H17" t="inlineStr">
        <x:is>
          <x:t xml:space="preserve">ManaRestoreAdjacent</x:t>
        </x:is>
      </x:c>
      <x:c r="I17" t="inlineStr">
        <x:is>
          <x:t xml:space="preserve">SkillApply</x:t>
        </x:is>
      </x:c>
      <x:c r="J17" t="inlineStr">
        <x:is>
          <x:t xml:space="preserve">배치 가치가 있는 지원형</x:t>
        </x:is>
      </x:c>
      <x:c r="K17" t="inlineStr">
        <x:is>
          <x:t xml:space="preserve">21.0 (공격력 100%, 원거리 5m)</x:t>
        </x:is>
      </x:c>
      <x:c r="L17" t="inlineStr">
        <x:is>
          <x:t xml:space="preserve">피해 없음 / 양옆 마나 30% 회복</x:t>
        </x:is>
      </x:c>
      <x:c r="M17" t="inlineStr">
        <x:is>
          <x:t xml:space="preserve">마나 회복량 성장</x:t>
        </x:is>
      </x:c>
    </x:row>
    <x:row r="18" ht="28" customHeight="1">
      <x:c r="A18" t="inlineStr">
        <x:is>
          <x:t xml:space="preserve">희귀</x:t>
        </x:is>
      </x:c>
      <x:c r="B18" t="inlineStr">
        <x:is>
          <x:t xml:space="preserve">hero_14</x:t>
        </x:is>
      </x:c>
      <x:c r="C18" t="inlineStr">
        <x:is>
          <x:t xml:space="preserve">Dice_Light</x:t>
        </x:is>
      </x:c>
      <x:c r="D18" t="inlineStr">
        <x:is>
          <x:t xml:space="preserve">가속의 빛</x:t>
        </x:is>
      </x:c>
      <x:c r="E18" t="inlineStr">
        <x:is>
          <x:t xml:space="preserve">사거리 안 아군 공격속도를 5초 동안 30% 증가</x:t>
        </x:is>
      </x:c>
      <x:c r="F18" t="inlineStr">
        <x:is>
          <x:t xml:space="preserve">30%, 5초</x:t>
        </x:is>
      </x:c>
      <x:c r="G18" t="inlineStr">
        <x:is>
          <x:t xml:space="preserve">공격속도 증가량</x:t>
        </x:is>
      </x:c>
      <x:c r="H18" t="inlineStr">
        <x:is>
          <x:t xml:space="preserve">AllyAttackSpeedBoost</x:t>
        </x:is>
      </x:c>
      <x:c r="I18" t="inlineStr">
        <x:is>
          <x:t xml:space="preserve">SkillApply</x:t>
        </x:is>
      </x:c>
      <x:c r="J18" t="inlineStr">
        <x:is>
          <x:t xml:space="preserve">버프 받은 아군 아이콘/타이머 표시</x:t>
        </x:is>
      </x:c>
      <x:c r="K18" t="inlineStr">
        <x:is>
          <x:t xml:space="preserve">22.0 (공격력 100%, 근거리 3m)</x:t>
        </x:is>
      </x:c>
      <x:c r="L18" t="inlineStr">
        <x:is>
          <x:t xml:space="preserve">피해 없음 / 사거리 내 아군 5초 공속 +30%</x:t>
        </x:is>
      </x:c>
      <x:c r="M18" t="inlineStr">
        <x:is>
          <x:t xml:space="preserve">공속 증가량 성장</x:t>
        </x:is>
      </x:c>
    </x:row>
    <x:row r="19" ht="28" customHeight="1">
      <x:c r="A19" t="inlineStr">
        <x:is>
          <x:t xml:space="preserve">전설</x:t>
        </x:is>
      </x:c>
      <x:c r="B19" t="inlineStr">
        <x:is>
          <x:t xml:space="preserve">hero_21</x:t>
        </x:is>
      </x:c>
      <x:c r="C19" t="inlineStr">
        <x:is>
          <x:t xml:space="preserve">Dice_Summon</x:t>
        </x:is>
      </x:c>
      <x:c r="D19" t="inlineStr">
        <x:is>
          <x:t xml:space="preserve">미니미 소환</x:t>
        </x:is>
      </x:c>
      <x:c r="E19" t="inlineStr">
        <x:is>
          <x:t xml:space="preserve">현재 체력/공격력의 20% 수준인 Dice_Pawn 소환체를 소환</x:t>
        </x:is>
      </x:c>
      <x:c r="F19" t="inlineStr">
        <x:is>
          <x:t xml:space="preserve">20%</x:t>
        </x:is>
      </x:c>
      <x:c r="G19" t="inlineStr">
        <x:is>
          <x:t xml:space="preserve">소환체 체력, 소환체 공격력</x:t>
        </x:is>
      </x:c>
      <x:c r="H19" t="inlineStr">
        <x:is>
          <x:t xml:space="preserve">SummonRush</x:t>
        </x:is>
      </x:c>
      <x:c r="I19" t="inlineStr">
        <x:is>
          <x:t xml:space="preserve">SkillApply 권장</x:t>
        </x:is>
      </x:c>
      <x:c r="J19" t="inlineStr">
        <x:is>
          <x:t xml:space="preserve">소환체는 라운드 종료 시 제거</x:t>
        </x:is>
      </x:c>
      <x:c r="K19" t="inlineStr">
        <x:is>
          <x:t xml:space="preserve">25.7 (공격력 100%, 원거리 6m)</x:t>
        </x:is>
      </x:c>
      <x:c r="L19" t="inlineStr">
        <x:is>
          <x:t xml:space="preserve">소환체 공격력 5.1 / 체력 20%</x:t>
        </x:is>
      </x:c>
      <x:c r="M19" t="inlineStr">
        <x:is>
          <x:t xml:space="preserve">소환체 체력/공격력 성장</x:t>
        </x:is>
      </x:c>
    </x:row>
    <x:row r="20" ht="28" customHeight="1">
      <x:c r="A20" t="inlineStr">
        <x:is>
          <x:t xml:space="preserve">전설</x:t>
        </x:is>
      </x:c>
      <x:c r="B20" t="inlineStr">
        <x:is>
          <x:t xml:space="preserve">hero_22</x:t>
        </x:is>
      </x:c>
      <x:c r="C20" t="inlineStr">
        <x:is>
          <x:t xml:space="preserve">Dice_Thornshield</x:t>
        </x:is>
      </x:c>
      <x:c r="D20" t="inlineStr">
        <x:is>
          <x:t xml:space="preserve">쏜즈 오오라</x:t>
        </x:is>
      </x:c>
      <x:c r="E20" t="inlineStr">
        <x:is>
          <x:t xml:space="preserve">받은 피해의 120%를 공격자에게 반사</x:t>
        </x:is>
      </x:c>
      <x:c r="F20" t="inlineStr">
        <x:is>
          <x:t xml:space="preserve">120%</x:t>
        </x:is>
      </x:c>
      <x:c r="G20" t="inlineStr">
        <x:is>
          <x:t xml:space="preserve">반사량</x:t>
        </x:is>
      </x:c>
      <x:c r="H20" t="inlineStr">
        <x:is>
          <x:t xml:space="preserve">ThornsAura</x:t>
        </x:is>
      </x:c>
      <x:c r="I20" t="inlineStr">
        <x:is>
          <x:t xml:space="preserve">SkillApply</x:t>
        </x:is>
      </x:c>
      <x:c r="J20" t="inlineStr">
        <x:is>
          <x:t xml:space="preserve">오오라/반사 피드백 필요</x:t>
        </x:is>
      </x:c>
      <x:c r="K20" t="inlineStr">
        <x:is>
          <x:t xml:space="preserve">30.8 (공격력 100%, 근거리 3m)</x:t>
        </x:is>
      </x:c>
      <x:c r="L20" t="inlineStr">
        <x:is>
          <x:t xml:space="preserve">직접 피해 없음 / 받은 피해 120% 반사</x:t>
        </x:is>
      </x:c>
      <x:c r="M20" t="inlineStr">
        <x:is>
          <x:t xml:space="preserve">반사량 성장</x:t>
        </x:is>
      </x:c>
    </x:row>
    <x:row r="21" ht="28" customHeight="1">
      <x:c r="A21" t="inlineStr">
        <x:is>
          <x:t xml:space="preserve">전설</x:t>
        </x:is>
      </x:c>
      <x:c r="B21" t="inlineStr">
        <x:is>
          <x:t xml:space="preserve">hero_23</x:t>
        </x:is>
      </x:c>
      <x:c r="C21" t="inlineStr">
        <x:is>
          <x:t xml:space="preserve">Dice_Wolf_T</x:t>
        </x:is>
      </x:c>
      <x:c r="D21" t="inlineStr">
        <x:is>
          <x:t xml:space="preserve">파워 스트라이크</x:t>
        </x:is>
      </x:c>
      <x:c r="E21" t="inlineStr">
        <x:is>
          <x:t xml:space="preserve">공격력 300% 피해</x:t>
        </x:is>
      </x:c>
      <x:c r="F21" t="inlineStr">
        <x:is>
          <x:t xml:space="preserve">300%</x:t>
        </x:is>
      </x:c>
      <x:c r="G21" t="inlineStr">
        <x:is>
          <x:t xml:space="preserve">피해량</x:t>
        </x:is>
      </x:c>
      <x:c r="H21" t="inlineStr">
        <x:is>
          <x:t xml:space="preserve">DirectDamage</x:t>
        </x:is>
      </x:c>
      <x:c r="I21" t="inlineStr">
        <x:is>
          <x:t xml:space="preserve">SkillHit 또는 SkillApply</x:t>
        </x:is>
      </x:c>
      <x:c r="J21" t="inlineStr">
        <x:is>
          <x:t xml:space="preserve">기본 고피해 스킬</x:t>
        </x:is>
      </x:c>
      <x:c r="K21" t="inlineStr">
        <x:is>
          <x:t xml:space="preserve">29.0 (공격력 100%, 근거리 4m)</x:t>
        </x:is>
      </x:c>
      <x:c r="L21" t="inlineStr">
        <x:is>
          <x:t xml:space="preserve">87.0 (공격력 300%)</x:t>
        </x:is>
      </x:c>
      <x:c r="M21" t="inlineStr">
        <x:is>
          <x:t xml:space="preserve">피해량 성장</x:t>
        </x:is>
      </x:c>
    </x:row>
    <x:row r="22" ht="28" customHeight="1">
      <x:c r="A22" t="inlineStr">
        <x:is>
          <x:t xml:space="preserve">신화</x:t>
        </x:is>
      </x:c>
      <x:c r="B22" t="inlineStr">
        <x:is>
          <x:t xml:space="preserve">hero_31</x:t>
        </x:is>
      </x:c>
      <x:c r="C22" t="inlineStr">
        <x:is>
          <x:t xml:space="preserve">Dice_Combat</x:t>
        </x:is>
      </x:c>
      <x:c r="D22" t="inlineStr">
        <x:is>
          <x:t xml:space="preserve">충격 강타</x:t>
        </x:is>
      </x:c>
      <x:c r="E22" t="inlineStr">
        <x:is>
          <x:t xml:space="preserve">공격력 150% 피해 + 3초 스턴</x:t>
        </x:is>
      </x:c>
      <x:c r="F22" t="inlineStr">
        <x:is>
          <x:t xml:space="preserve">150%, 3초</x:t>
        </x:is>
      </x:c>
      <x:c r="G22" t="inlineStr">
        <x:is>
          <x:t xml:space="preserve">피해량</x:t>
        </x:is>
      </x:c>
      <x:c r="H22" t="inlineStr">
        <x:is>
          <x:t xml:space="preserve">DamageStun</x:t>
        </x:is>
      </x:c>
      <x:c r="I22" t="inlineStr">
        <x:is>
          <x:t xml:space="preserve">SkillHit 또는 SkillApply</x:t>
        </x:is>
      </x:c>
      <x:c r="J22" t="inlineStr">
        <x:is>
          <x:t xml:space="preserve">스턴 시간은 현재 고정 기준</x:t>
        </x:is>
      </x:c>
      <x:c r="K22" t="inlineStr">
        <x:is>
          <x:t xml:space="preserve">38.5 (공격력 100%, 근거리 3m)</x:t>
        </x:is>
      </x:c>
      <x:c r="L22" t="inlineStr">
        <x:is>
          <x:t xml:space="preserve">57.8 (공격력 150%) + 3초 스턴</x:t>
        </x:is>
      </x:c>
      <x:c r="M22" t="inlineStr">
        <x:is>
          <x:t xml:space="preserve">피해량 성장</x:t>
        </x:is>
      </x:c>
    </x:row>
    <x:row r="23" ht="58" customHeight="1">
      <x:c r="A23" s="133" t="inlineStr">
        <x:is>
          <x:t xml:space="preserve">신화</x:t>
        </x:is>
      </x:c>
      <x:c r="B23" s="133" t="inlineStr">
        <x:is>
          <x:t xml:space="preserve">hero_32</x:t>
        </x:is>
      </x:c>
      <x:c r="C23" s="133" t="inlineStr">
        <x:is>
          <x:t xml:space="preserve">Dice_Wolf</x:t>
        </x:is>
      </x:c>
      <x:c r="D23" s="133" t="inlineStr">
        <x:is>
          <x:t xml:space="preserve">야성의 추적탄</x:t>
        </x:is>
      </x:c>
      <x:c r="E23" s="133" t="inlineStr">
        <x:is>
          <x:t xml:space="preserve">공격력 220% 피해 + 4초간 이동속도 35% 감소 + 초당 공격력 30% 독 피해 4초 + 자신 공격속도 +25% 5초</x:t>
        </x:is>
      </x:c>
      <x:c r="F23" s="133" t="inlineStr">
        <x:is>
          <x:t xml:space="preserve">220%, 35%·4초, 30%×4, 25%·5초</x:t>
        </x:is>
      </x:c>
      <x:c r="G23" s="133" t="inlineStr">
        <x:is>
          <x:t xml:space="preserve">피해량</x:t>
        </x:is>
      </x:c>
      <x:c r="H23" s="133" t="inlineStr">
        <x:is>
          <x:t xml:space="preserve">DamageSlow</x:t>
        </x:is>
      </x:c>
      <x:c r="I23" s="133" t="inlineStr">
        <x:is>
          <x:t xml:space="preserve">SkillFire 또는 SkillHit</x:t>
        </x:is>
      </x:c>
      <x:c r="J23" s="133" t="inlineStr">
        <x:is>
          <x:t xml:space="preserve">투사체·둔화·독 표시 / 자신 공격속도 버프 아이콘</x:t>
        </x:is>
      </x:c>
      <x:c r="K23" s="133" t="inlineStr">
        <x:is>
          <x:t xml:space="preserve">36.0 (공격력 100%, 원거리 6m)</x:t>
        </x:is>
      </x:c>
      <x:c r="L23" s="133" t="inlineStr">
        <x:is>
          <x:t xml:space="preserve">79.2 직접 피해 + 43.2 독 피해 = 최대 122.4</x:t>
        </x:is>
      </x:c>
      <x:c r="M23" s="133" t="inlineStr">
        <x:is>
          <x:t xml:space="preserve">피해량 성장 / 둔화·독·공속 수치는 고정</x:t>
        </x:is>
      </x:c>
    </x:row>
    <x:row r="24" ht="28" customHeight="1">
      <x:c r="A24" t="inlineStr">
        <x:is>
          <x:t xml:space="preserve">신화</x:t>
        </x:is>
      </x:c>
      <x:c r="B24" t="inlineStr">
        <x:is>
          <x:t xml:space="preserve">hero_33</x:t>
        </x:is>
      </x:c>
      <x:c r="C24" t="inlineStr">
        <x:is>
          <x:t xml:space="preserve">Dice_Infection</x:t>
        </x:is>
      </x:c>
      <x:c r="D24" t="inlineStr">
        <x:is>
          <x:t xml:space="preserve">최후의 맹독</x:t>
        </x:is>
      </x:c>
      <x:c r="E24" t="inlineStr">
        <x:is>
          <x:t xml:space="preserve">죽을 때 전방에 10초 독극물 지대 생성, 초당 80 피해</x:t>
        </x:is>
      </x:c>
      <x:c r="F24" t="inlineStr">
        <x:is>
          <x:t xml:space="preserve">80 DPS, 10초</x:t>
        </x:is>
      </x:c>
      <x:c r="G24" t="inlineStr">
        <x:is>
          <x:t xml:space="preserve">초당 피해</x:t>
        </x:is>
      </x:c>
      <x:c r="H24" t="inlineStr">
        <x:is>
          <x:t xml:space="preserve">DeathPoisonField</x:t>
        </x:is>
      </x:c>
      <x:c r="I24" t="inlineStr">
        <x:is>
          <x:t xml:space="preserve">OnDeath / SpawnArea</x:t>
        </x:is>
      </x:c>
      <x:c r="J24" t="inlineStr">
        <x:is>
          <x:t xml:space="preserve">자폭 죽음장판 피드백 핵심</x:t>
        </x:is>
      </x:c>
      <x:c r="K24" t="inlineStr">
        <x:is>
          <x:t xml:space="preserve">36.3 (공격력 100%, 근거리 2.4m)</x:t>
        </x:is>
      </x:c>
      <x:c r="L24" t="inlineStr">
        <x:is>
          <x:t xml:space="preserve">고정 80 DPS x 10초 = 총 800</x:t>
        </x:is>
      </x:c>
      <x:c r="M24" t="inlineStr">
        <x:is>
          <x:t xml:space="preserve">초당 피해 성장</x:t>
        </x:is>
      </x:c>
    </x:row>
    <x:row r="25" ht="28" customHeight="1">
      <x:c r="A25" t="inlineStr">
        <x:is>
          <x:t xml:space="preserve">초월</x:t>
        </x:is>
      </x:c>
      <x:c r="B25" t="inlineStr">
        <x:is>
          <x:t xml:space="preserve">hero_51</x:t>
        </x:is>
      </x:c>
      <x:c r="C25" t="inlineStr">
        <x:is>
          <x:t xml:space="preserve">Dice_Lightning</x:t>
        </x:is>
      </x:c>
      <x:c r="D25" t="inlineStr">
        <x:is>
          <x:t xml:space="preserve">감전 일격</x:t>
        </x:is>
      </x:c>
      <x:c r="E25" t="inlineStr">
        <x:is>
          <x:t xml:space="preserve">공격력 300% 피해 + 3초 스턴</x:t>
        </x:is>
      </x:c>
      <x:c r="F25" t="inlineStr">
        <x:is>
          <x:t xml:space="preserve">3초</x:t>
        </x:is>
      </x:c>
      <x:c r="G25" t="inlineStr">
        <x:is>
          <x:t xml:space="preserve">스턴 시간</x:t>
        </x:is>
      </x:c>
      <x:c r="H25" t="inlineStr">
        <x:is>
          <x:t xml:space="preserve">DamageStun</x:t>
        </x:is>
      </x:c>
      <x:c r="I25" t="inlineStr">
        <x:is>
          <x:t xml:space="preserve">SkillHit 또는 SkillApply</x:t>
        </x:is>
      </x:c>
      <x:c r="J25" t="inlineStr">
        <x:is>
          <x:t xml:space="preserve">전기/스턴 FX 권장</x:t>
        </x:is>
      </x:c>
      <x:c r="K25" t="inlineStr">
        <x:is>
          <x:t xml:space="preserve">41.0 (공격력 100%, 원거리 8m)</x:t>
        </x:is>
      </x:c>
      <x:c r="L25" t="inlineStr">
        <x:is>
          <x:t xml:space="preserve">123.0 (공격력 300%) + 3초 스턴</x:t>
        </x:is>
      </x:c>
      <x:c r="M25" t="inlineStr">
        <x:is>
          <x:t xml:space="preserve">스턴 시간 성장, 피해 300% 고정 기준</x:t>
        </x:is>
      </x:c>
    </x:row>
    <x:row r="26" ht="28" customHeight="1">
      <x:c r="A26" t="inlineStr">
        <x:is>
          <x:t xml:space="preserve">초월</x:t>
        </x:is>
      </x:c>
      <x:c r="B26" t="inlineStr">
        <x:is>
          <x:t xml:space="preserve">hero_52</x:t>
        </x:is>
      </x:c>
      <x:c r="C26" t="inlineStr">
        <x:is>
          <x:t xml:space="preserve">Dice_Meteor</x:t>
        </x:is>
      </x:c>
      <x:c r="D26" t="inlineStr">
        <x:is>
          <x:t xml:space="preserve">용암 구체</x:t>
        </x:is>
      </x:c>
      <x:c r="E26" t="inlineStr">
        <x:is>
          <x:t xml:space="preserve">공격력 300% 피해 + 3m 용암지역 5초 생성, 초당 30 피해</x:t>
        </x:is>
      </x:c>
      <x:c r="F26" t="inlineStr">
        <x:is>
          <x:t xml:space="preserve">30 DPS, 5초</x:t>
        </x:is>
      </x:c>
      <x:c r="G26" t="inlineStr">
        <x:is>
          <x:t xml:space="preserve">장판 초당 피해</x:t>
        </x:is>
      </x:c>
      <x:c r="H26" t="inlineStr">
        <x:is>
          <x:t xml:space="preserve">DamageGroundField</x:t>
        </x:is>
      </x:c>
      <x:c r="I26" t="inlineStr">
        <x:is>
          <x:t xml:space="preserve">SkillFire 후 충돌, SpawnArea</x:t>
        </x:is>
      </x:c>
      <x:c r="J26" t="inlineStr">
        <x:is>
          <x:t xml:space="preserve">장판 경계와 지속시간 표시 필요</x:t>
        </x:is>
      </x:c>
      <x:c r="K26" t="inlineStr">
        <x:is>
          <x:t xml:space="preserve">52.5 (공격력 100%, 원거리 8m)</x:t>
        </x:is>
      </x:c>
      <x:c r="L26" t="inlineStr">
        <x:is>
          <x:t xml:space="preserve">157.5 (공격력 300%) + 용암 30 DPS x 5초</x:t>
        </x:is>
      </x:c>
      <x:c r="M26" t="inlineStr">
        <x:is>
          <x:t xml:space="preserve">장판 초당 피해 성장</x:t>
        </x:is>
      </x:c>
    </x:row>
    <x:row r="27" ht="28" customHeight="1">
      <x:c r="A27" t="inlineStr">
        <x:is>
          <x:t xml:space="preserve">초월</x:t>
        </x:is>
      </x:c>
      <x:c r="B27" t="inlineStr">
        <x:is>
          <x:t xml:space="preserve">hero_53</x:t>
        </x:is>
      </x:c>
      <x:c r="C27" t="inlineStr">
        <x:is>
          <x:t xml:space="preserve">Dice_Minigun</x:t>
        </x:is>
      </x:c>
      <x:c r="D27" t="inlineStr">
        <x:is>
          <x:t xml:space="preserve">전투 가속</x:t>
        </x:is>
      </x:c>
      <x:c r="E27" t="inlineStr">
        <x:is>
          <x:t xml:space="preserve">8초 동안 공격속도 50% 증가</x:t>
        </x:is>
      </x:c>
      <x:c r="F27" t="inlineStr">
        <x:is>
          <x:t xml:space="preserve">8초</x:t>
        </x:is>
      </x:c>
      <x:c r="G27" t="inlineStr">
        <x:is>
          <x:t xml:space="preserve">지속 시간</x:t>
        </x:is>
      </x:c>
      <x:c r="H27" t="inlineStr">
        <x:is>
          <x:t xml:space="preserve">AttackSpeedBoost</x:t>
        </x:is>
      </x:c>
      <x:c r="I27" t="inlineStr">
        <x:is>
          <x:t xml:space="preserve">SkillApply</x:t>
        </x:is>
      </x:c>
      <x:c r="J27" t="inlineStr">
        <x:is>
          <x:t xml:space="preserve">자기 버프 아이콘/타이머 표시</x:t>
        </x:is>
      </x:c>
      <x:c r="K27" t="inlineStr">
        <x:is>
          <x:t xml:space="preserve">39.0 (공격력 100%, 원거리 6m)</x:t>
        </x:is>
      </x:c>
      <x:c r="L27" t="inlineStr">
        <x:is>
          <x:t xml:space="preserve">피해 없음 / 8초 공속 +50%</x:t>
        </x:is>
      </x:c>
      <x:c r="M27" t="inlineStr">
        <x:is>
          <x:t xml:space="preserve">지속 시간 성장</x:t>
        </x:is>
      </x:c>
    </x:row>
    <x:row r="28" ht="28" customHeight="1">
      <x:c r="A28" t="inlineStr">
        <x:is>
          <x:t xml:space="preserve">초월</x:t>
        </x:is>
      </x:c>
      <x:c r="B28" t="inlineStr">
        <x:is>
          <x:t xml:space="preserve">hero_54</x:t>
        </x:is>
      </x:c>
      <x:c r="C28" t="inlineStr">
        <x:is>
          <x:t xml:space="preserve">Dice_Gargoyle</x:t>
        </x:is>
      </x:c>
      <x:c r="D28" t="inlineStr">
        <x:is>
          <x:t xml:space="preserve">수호 도발</x:t>
        </x:is>
      </x:c>
      <x:c r="E28" t="inlineStr">
        <x:is>
          <x:t xml:space="preserve">3m 반경 적을 5초 도발, 받는 피해 50% 감소</x:t>
        </x:is>
      </x:c>
      <x:c r="F28" t="inlineStr">
        <x:is>
          <x:t xml:space="preserve">50%, 5초, 3m</x:t>
        </x:is>
      </x:c>
      <x:c r="G28" t="inlineStr">
        <x:is>
          <x:t xml:space="preserve">피해 감소율</x:t>
        </x:is>
      </x:c>
      <x:c r="H28" t="inlineStr">
        <x:is>
          <x:t xml:space="preserve">Taunt</x:t>
        </x:is>
      </x:c>
      <x:c r="I28" t="inlineStr">
        <x:is>
          <x:t xml:space="preserve">SkillApply</x:t>
        </x:is>
      </x:c>
      <x:c r="J28" t="inlineStr">
        <x:is>
          <x:t xml:space="preserve">탱커, 도발 대상 표시 필요</x:t>
        </x:is>
      </x:c>
      <x:c r="K28" t="inlineStr">
        <x:is>
          <x:t xml:space="preserve">44.0 (공격력 100%, 근거리 4m)</x:t>
        </x:is>
      </x:c>
      <x:c r="L28" t="inlineStr">
        <x:is>
          <x:t xml:space="preserve">피해 없음 / 3m 5초 도발 + 받피해 50% 감소</x:t>
        </x:is>
      </x:c>
      <x:c r="M28" t="inlineStr">
        <x:is>
          <x:t xml:space="preserve">피해 감소율 성장</x:t>
        </x:is>
      </x:c>
    </x:row>
    <x:row r="29" ht="66" customHeight="1">
      <x:c r="A29" t="inlineStr">
        <x:is>
          <x:t xml:space="preserve">초월</x:t>
        </x:is>
      </x:c>
      <x:c r="B29" t="inlineStr">
        <x:is>
          <x:t xml:space="preserve">hero_55</x:t>
        </x:is>
      </x:c>
      <x:c r="C29" t="inlineStr">
        <x:is>
          <x:t xml:space="preserve">Dice_armor</x:t>
        </x:is>
      </x:c>
      <x:c r="D29" t="inlineStr">
        <x:is>
          <x:t xml:space="preserve">철벽 돌진</x:t>
        </x:is>
      </x:c>
      <x:c r="E29" t="inlineStr">
        <x:is>
          <x:t xml:space="preserve">전방 적에게 공격력 150% 피해를 주고 10m 밀쳐냄. 발동할 때마다 받는 피해 5% 감소 누적(최대 40%).</x:t>
        </x:is>
      </x:c>
      <x:c r="F29" t="inlineStr">
        <x:is>
          <x:t xml:space="preserve">150%, 10m, 5% 누적(최대 40%)</x:t>
        </x:is>
      </x:c>
      <x:c r="G29" t="inlineStr">
        <x:is>
          <x:t xml:space="preserve">피해량</x:t>
        </x:is>
      </x:c>
      <x:c r="H29" t="inlineStr">
        <x:is>
          <x:t xml:space="preserve">FrontKnockbackGuard</x:t>
        </x:is>
      </x:c>
      <x:c r="I29" t="inlineStr">
        <x:is>
          <x:t xml:space="preserve">SkillHit 또는 SkillApply</x:t>
        </x:is>
      </x:c>
      <x:c r="J29" t="inlineStr">
        <x:is>
          <x:t xml:space="preserve">방어 중첩과 밀치기 거리 표시 / 레시피 hero_31+hero_05+hero_22</x:t>
        </x:is>
      </x:c>
      <x:c r="K29" t="inlineStr">
        <x:is>
          <x:t xml:space="preserve">54.0 (공격력 100%, 근거리 2.8m)</x:t>
        </x:is>
      </x:c>
      <x:c r="L29" t="inlineStr">
        <x:is>
          <x:t xml:space="preserve">81.0 (공격력 150%) + 10m 밀치기</x:t>
        </x:is>
      </x:c>
      <x:c r="M29" t="inlineStr">
        <x:is>
          <x:t xml:space="preserve">피해량 성장 / 받피해 감소는 회당 5%, 최대 40%</x:t>
        </x:is>
      </x:c>
    </x:row>
    <x:row r="30" ht="66" customHeight="1">
      <x:c r="A30" t="inlineStr">
        <x:is>
          <x:t xml:space="preserve">초월</x:t>
        </x:is>
      </x:c>
      <x:c r="B30" t="inlineStr">
        <x:is>
          <x:t xml:space="preserve">hero_56</x:t>
        </x:is>
      </x:c>
      <x:c r="C30" t="inlineStr">
        <x:is>
          <x:t xml:space="preserve">dice_auto</x:t>
        </x:is>
      </x:c>
      <x:c r="D30" t="inlineStr">
        <x:is>
          <x:t xml:space="preserve">격라운드 폭격</x:t>
        </x:is>
      </x:c>
      <x:c r="E30" t="inlineStr">
        <x:is>
          <x:t xml:space="preserve">소환 다음 라운드부터 한 라운드씩 번갈아 기동. 기동 라운드에 공격력 420%의 폭발 피해를 4.5m 범위에 1회 가함.</x:t>
        </x:is>
      </x:c>
      <x:c r="F30" t="inlineStr">
        <x:is>
          <x:t xml:space="preserve">420%, 4.5m</x:t>
        </x:is>
      </x:c>
      <x:c r="G30" t="inlineStr">
        <x:is>
          <x:t xml:space="preserve">피해량</x:t>
        </x:is>
      </x:c>
      <x:c r="H30" t="inlineStr">
        <x:is>
          <x:t xml:space="preserve">AreaDamage</x:t>
        </x:is>
      </x:c>
      <x:c r="I30" t="inlineStr">
        <x:is>
          <x:t xml:space="preserve">라운드 시작 SkillHit</x:t>
        </x:is>
      </x:c>
      <x:c r="J30" t="inlineStr">
        <x:is>
          <x:t xml:space="preserve">spawn→spawn_idle 후 다음 라운드 skill→idle / 레시피 hero_32+hero_13+hero_10</x:t>
        </x:is>
      </x:c>
      <x:c r="K30" t="inlineStr">
        <x:is>
          <x:t xml:space="preserve">82.0 (공격력 100%, 원거리 9.5m·기동 라운드)</x:t>
        </x:is>
      </x:c>
      <x:c r="L30" t="inlineStr">
        <x:is>
          <x:t xml:space="preserve">344.4 (공격력 420%, 4.5m 광역)</x:t>
        </x:is>
      </x:c>
      <x:c r="M30" t="inlineStr">
        <x:is>
          <x:t xml:space="preserve">피해량 성장 / 기동·휴식 격라운드 고정</x:t>
        </x:is>
      </x:c>
    </x:row>
    <x:row r="31" ht="66" customHeight="1">
      <x:c r="A31" t="inlineStr">
        <x:is>
          <x:t xml:space="preserve">초월</x:t>
        </x:is>
      </x:c>
      <x:c r="B31" t="inlineStr">
        <x:is>
          <x:t xml:space="preserve">hero_57</x:t>
        </x:is>
      </x:c>
      <x:c r="C31" t="inlineStr">
        <x:is>
          <x:t xml:space="preserve">Dice_Broken</x:t>
        </x:is>
      </x:c>
      <x:c r="D31" t="inlineStr">
        <x:is>
          <x:t xml:space="preserve">불규칙 난사</x:t>
        </x:is>
      </x:c>
      <x:c r="E31" t="inlineStr">
        <x:is>
          <x:t xml:space="preserve">기본 공격은 무작위 적을 노림. 스킬은 무작위 적에게 공격력 120% 탄환을 5발 발사하며 같은 적을 다시 선택할 수 있음.</x:t>
        </x:is>
      </x:c>
      <x:c r="F31" t="inlineStr">
        <x:is>
          <x:t xml:space="preserve">120% × 5발</x:t>
        </x:is>
      </x:c>
      <x:c r="G31" t="inlineStr">
        <x:is>
          <x:t xml:space="preserve">피해량</x:t>
        </x:is>
      </x:c>
      <x:c r="H31" t="inlineStr">
        <x:is>
          <x:t xml:space="preserve">RandomMultiShot</x:t>
        </x:is>
      </x:c>
      <x:c r="I31" t="inlineStr">
        <x:is>
          <x:t xml:space="preserve">SkillFire 또는 SkillHit</x:t>
        </x:is>
      </x:c>
      <x:c r="J31" t="inlineStr">
        <x:is>
          <x:t xml:space="preserve">중복 대상 허용 / 레시피 hero_33+hero_12+hero_06</x:t>
        </x:is>
      </x:c>
      <x:c r="K31" t="inlineStr">
        <x:is>
          <x:t xml:space="preserve">64.0 (공격력 100%, 원거리 9m·무작위 대상)</x:t>
        </x:is>
      </x:c>
      <x:c r="L31" t="inlineStr">
        <x:is>
          <x:t xml:space="preserve">76.8 × 5발 = 최대 384.0</x:t>
        </x:is>
      </x:c>
      <x:c r="M31" t="inlineStr">
        <x:is>
          <x:t xml:space="preserve">발당 피해량 성장 / 대상 중복 허용</x:t>
        </x:is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52" customWidth="1"/>
    <x:col min="4" max="4" width="28" customWidth="1"/>
    <x:col min="5" max="5" width="46" customWidth="1"/>
  </x:cols>
  <x:sheetData>
    <x:row r="1" ht="30" customHeight="1">
      <x:c r="A1" s="1" t="inlineStr">
        <x:is>
          <x:t xml:space="preserve">공격/스킬 이벤트 키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애니메이션 이벤트와 실제 효과 적용 기준</x:t>
        </x:is>
      </x:c>
      <x:c r="B2" s="5" t="n"/>
      <x:c r="C2" s="5" t="n"/>
      <x:c r="D2" s="5" t="n"/>
      <x:c r="E2" s="6" t="n"/>
    </x:row>
    <x:row r="3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상황</x:t>
        </x:is>
      </x:c>
      <x:c r="B4" s="8" t="inlineStr">
        <x:is>
          <x:t xml:space="preserve">이벤트 키</x:t>
        </x:is>
      </x:c>
      <x:c r="C4" s="8" t="inlineStr">
        <x:is>
          <x:t xml:space="preserve">적용 타이밍</x:t>
        </x:is>
      </x:c>
      <x:c r="D4" s="8" t="inlineStr">
        <x:is>
          <x:t xml:space="preserve">사용 대상</x:t>
        </x:is>
      </x:c>
      <x:c r="E4" s="8" t="inlineStr">
        <x:is>
          <x:t xml:space="preserve">주의</x:t>
        </x:is>
      </x:c>
    </x:row>
    <x:row r="5" ht="54" customHeight="1">
      <x:c r="A5" s="9" t="inlineStr">
        <x:is>
          <x:t xml:space="preserve">근거리 기본 공격</x:t>
        </x:is>
      </x:c>
      <x:c r="B5" s="9" t="inlineStr">
        <x:is>
          <x:t xml:space="preserve">AttackHit</x:t>
        </x:is>
      </x:c>
      <x:c r="C5" s="9" t="inlineStr">
        <x:is>
          <x:t xml:space="preserve">애니메이션 타격 프레임에 즉시 피해 적용</x:t>
        </x:is>
      </x:c>
      <x:c r="D5" s="9" t="inlineStr">
        <x:is>
          <x:t xml:space="preserve">근거리 유닛</x:t>
        </x:is>
      </x:c>
      <x:c r="E5" s="9" t="inlineStr">
        <x:is>
          <x:t xml:space="preserve">타격감과 실제 피해 타이밍이 일치해야 함</x:t>
        </x:is>
      </x:c>
    </x:row>
    <x:row r="6" ht="54" customHeight="1">
      <x:c r="A6" s="9" t="inlineStr">
        <x:is>
          <x:t xml:space="preserve">원거리 기본 공격</x:t>
        </x:is>
      </x:c>
      <x:c r="B6" s="9" t="inlineStr">
        <x:is>
          <x:t xml:space="preserve">FireProjectile</x:t>
        </x:is>
      </x:c>
      <x:c r="C6" s="9" t="inlineStr">
        <x:is>
          <x:t xml:space="preserve">투사체 발사. 몬스터에게 충돌하는 타이밍에 피해 적용</x:t>
        </x:is>
      </x:c>
      <x:c r="D6" s="9" t="inlineStr">
        <x:is>
          <x:t xml:space="preserve">원거리 유닛</x:t>
        </x:is>
      </x:c>
      <x:c r="E6" s="9" t="inlineStr">
        <x:is>
          <x:t xml:space="preserve">발사 프레임에 바로 피해가 들어가면 안 됨</x:t>
        </x:is>
      </x:c>
    </x:row>
    <x:row r="7" ht="54" customHeight="1">
      <x:c r="A7" s="9" t="inlineStr">
        <x:is>
          <x:t xml:space="preserve">근거리/즉시 피해 스킬</x:t>
        </x:is>
      </x:c>
      <x:c r="B7" s="9" t="inlineStr">
        <x:is>
          <x:t xml:space="preserve">SkillHit 또는 SkillApply</x:t>
        </x:is>
      </x:c>
      <x:c r="C7" s="9" t="inlineStr">
        <x:is>
          <x:t xml:space="preserve">스킬 타격/발동 프레임에 효과 적용</x:t>
        </x:is>
      </x:c>
      <x:c r="D7" s="9" t="inlineStr">
        <x:is>
          <x:t xml:space="preserve">직접 피해 스킬</x:t>
        </x:is>
      </x:c>
      <x:c r="E7" s="9" t="inlineStr">
        <x:is>
          <x:t xml:space="preserve">근거리 스킬은 반응이 느리지 않게 유지</x:t>
        </x:is>
      </x:c>
    </x:row>
    <x:row r="8" ht="54" customHeight="1">
      <x:c r="A8" s="9" t="inlineStr">
        <x:is>
          <x:t xml:space="preserve">투사체 스킬</x:t>
        </x:is>
      </x:c>
      <x:c r="B8" s="9" t="inlineStr">
        <x:is>
          <x:t xml:space="preserve">SkillFire</x:t>
        </x:is>
      </x:c>
      <x:c r="C8" s="9" t="inlineStr">
        <x:is>
          <x:t xml:space="preserve">투사체를 발사하고, 충돌 시 피해/효과 적용</x:t>
        </x:is>
      </x:c>
      <x:c r="D8" s="9" t="inlineStr">
        <x:is>
          <x:t xml:space="preserve">구체/화살/원거리 스킬</x:t>
        </x:is>
      </x:c>
      <x:c r="E8" s="9" t="inlineStr">
        <x:is>
          <x:t xml:space="preserve">이펙트와 데미지 타이밍 일치 필요</x:t>
        </x:is>
      </x:c>
    </x:row>
    <x:row r="9" ht="54" customHeight="1">
      <x:c r="A9" s="9" t="inlineStr">
        <x:is>
          <x:t xml:space="preserve">장판 스킬</x:t>
        </x:is>
      </x:c>
      <x:c r="B9" s="9" t="inlineStr">
        <x:is>
          <x:t xml:space="preserve">SpawnArea</x:t>
        </x:is>
      </x:c>
      <x:c r="C9" s="9" t="inlineStr">
        <x:is>
          <x:t xml:space="preserve">지정 위치에 장판 생성</x:t>
        </x:is>
      </x:c>
      <x:c r="D9" s="9" t="inlineStr">
        <x:is>
          <x:t xml:space="preserve">용암/독극물 지대</x:t>
        </x:is>
      </x:c>
      <x:c r="E9" s="9" t="inlineStr">
        <x:is>
          <x:t xml:space="preserve">지속시간과 범위 피드백 필요</x:t>
        </x:is>
      </x:c>
    </x:row>
    <x:row r="10" ht="54" customHeight="1">
      <x:c r="A10" s="9" t="inlineStr">
        <x:is>
          <x:t xml:space="preserve">버프/힐/마나/도발</x:t>
        </x:is>
      </x:c>
      <x:c r="B10" s="9" t="inlineStr">
        <x:is>
          <x:t xml:space="preserve">SkillApply</x:t>
        </x:is>
      </x:c>
      <x:c r="C10" s="9" t="inlineStr">
        <x:is>
          <x:t xml:space="preserve">스킬 발동 순간 대상에게 효과 적용</x:t>
        </x:is>
      </x:c>
      <x:c r="D10" s="9" t="inlineStr">
        <x:is>
          <x:t xml:space="preserve">지원/탱커 스킬</x:t>
        </x:is>
      </x:c>
      <x:c r="E10" s="9" t="inlineStr">
        <x:is>
          <x:t xml:space="preserve">버프 아이콘/타이머 표시 권장</x:t>
        </x:is>
      </x:c>
    </x:row>
    <x:row r="11" ht="54" customHeight="1">
      <x:c r="A11" s="9" t="inlineStr">
        <x:is>
          <x:t xml:space="preserve">소환형 스킬</x:t>
        </x:is>
      </x:c>
      <x:c r="B11" s="9" t="inlineStr">
        <x:is>
          <x:t xml:space="preserve">SkillApply 권장</x:t>
        </x:is>
      </x:c>
      <x:c r="C11" s="9" t="inlineStr">
        <x:is>
          <x:t xml:space="preserve">스킬 발동 순간 Dice_Pawn 소환</x:t>
        </x:is>
      </x:c>
      <x:c r="D11" s="9" t="inlineStr">
        <x:is>
          <x:t xml:space="preserve">hero_17</x:t>
        </x:is>
      </x:c>
      <x:c r="E11" s="9" t="inlineStr">
        <x:is>
          <x:t xml:space="preserve">소환체는 라운드 종료 시 제거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af58ffdb9c645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0" customWidth="1"/>
    <x:col min="3" max="3" width="44" customWidth="1"/>
    <x:col min="4" max="4" width="48" customWidth="1"/>
  </x:cols>
  <x:sheetData>
    <x:row r="1" ht="30" customHeight="1">
      <x:c r="A1" s="1" t="inlineStr">
        <x:is>
          <x:t xml:space="preserve">아웃게임 성장/상점</x:t>
        </x:is>
      </x:c>
      <x:c r="B1" s="2" t="n"/>
      <x:c r="C1" s="2" t="n"/>
      <x:c r="D1" s="3" t="n"/>
    </x:row>
    <x:row r="2" ht="22" customHeight="1">
      <x:c r="A2" s="4" t="inlineStr">
        <x:is>
          <x:t xml:space="preserve">테스트/서비스 모드와 카드 성장 기준</x:t>
        </x:is>
      </x:c>
      <x:c r="B2" s="5" t="n"/>
      <x:c r="C2" s="5" t="n"/>
      <x:c r="D2" s="6" t="n"/>
    </x:row>
    <x:row r="3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서비스 값</x:t>
        </x:is>
      </x:c>
      <x:c r="C4" s="8" t="inlineStr">
        <x:is>
          <x:t xml:space="preserve">테스트 값/비고</x:t>
        </x:is>
      </x:c>
      <x:c r="D4" s="8" t="inlineStr">
        <x:is>
          <x:t xml:space="preserve">관리 위치</x:t>
        </x:is>
      </x:c>
    </x:row>
    <x:row r="5" ht="48" customHeight="1">
      <x:c r="A5" s="9" t="inlineStr">
        <x:is>
          <x:t xml:space="preserve">플레이 모드</x:t>
        </x:is>
      </x:c>
      <x:c r="B5" s="9" t="inlineStr">
        <x:is>
          <x:t xml:space="preserve">Service: 보유 영웅만 출전</x:t>
        </x:is>
      </x:c>
      <x:c r="C5" s="9" t="inlineStr">
        <x:is>
          <x:t xml:space="preserve">Test: 모든 캐릭터 사용 가능</x:t>
        </x:is>
      </x:c>
      <x:c r="D5" s="9" t="inlineStr">
        <x:is>
          <x:t xml:space="preserve">CharacterDatabase.cs / OutgameProgressionConfig</x:t>
        </x:is>
      </x:c>
    </x:row>
    <x:row r="6" ht="48" customHeight="1">
      <x:c r="A6" s="9" t="inlineStr">
        <x:is>
          <x:t xml:space="preserve">서비스 시작 영웅</x:t>
        </x:is>
      </x:c>
      <x:c r="B6" s="9" t="inlineStr">
        <x:is>
          <x:t xml:space="preserve">hero_02, hero_04, hero_07, hero_08, hero_13</x:t>
        </x:is>
      </x:c>
      <x:c r="C6" s="9" t="inlineStr">
        <x:is>
          <x:t xml:space="preserve">초반 튜토리얼/덱 구성 플레이 테스트 필요</x:t>
        </x:is>
      </x:c>
      <x:c r="D6" s="9" t="inlineStr">
        <x:is>
          <x:t xml:space="preserve">OutgameProgressionConfig</x:t>
        </x:is>
      </x:c>
    </x:row>
    <x:row r="7" ht="48" customHeight="1">
      <x:c r="A7" s="9" t="inlineStr">
        <x:is>
          <x:t xml:space="preserve">서비스 시작 다이아</x:t>
        </x:is>
      </x:c>
      <x:c r="B7" s="9" t="inlineStr">
        <x:is>
          <x:t xml:space="preserve">1000</x:t>
        </x:is>
      </x:c>
      <x:c r="C7" s="9" t="inlineStr">
        <x:is>
          <x:t xml:space="preserve">테스트 시작 다이아 999999</x:t>
        </x:is>
      </x:c>
      <x:c r="D7" s="9" t="inlineStr">
        <x:is>
          <x:t xml:space="preserve">OutgameProgressionConfig</x:t>
        </x:is>
      </x:c>
    </x:row>
    <x:row r="8" ht="48" customHeight="1">
      <x:c r="A8" s="9" t="inlineStr">
        <x:is>
          <x:t xml:space="preserve">테스트 다이아 충전량</x:t>
        </x:is>
      </x:c>
      <x:c r="B8" s="9" t="inlineStr">
        <x:is>
          <x:t xml:space="preserve">-</x:t>
        </x:is>
      </x:c>
      <x:c r="C8" s="9" t="inlineStr">
        <x:is>
          <x:t xml:space="preserve">10000</x:t>
        </x:is>
      </x:c>
      <x:c r="D8" s="9" t="inlineStr">
        <x:is>
          <x:t xml:space="preserve">OutgameProgressionConfig</x:t>
        </x:is>
      </x:c>
    </x:row>
    <x:row r="9" ht="48" customHeight="1">
      <x:c r="A9" s="9" t="inlineStr">
        <x:is>
          <x:t xml:space="preserve">1회 뽑기 비용</x:t>
        </x:is>
      </x:c>
      <x:c r="B9" s="9" t="inlineStr">
        <x:is>
          <x:t xml:space="preserve">100 다이아</x:t>
        </x:is>
      </x:c>
      <x:c r="C9" s="9" t="inlineStr">
        <x:is>
          <x:t xml:space="preserve">-</x:t>
        </x:is>
      </x:c>
      <x:c r="D9" s="9" t="inlineStr">
        <x:is>
          <x:t xml:space="preserve">OutgameProgressionConfig</x:t>
        </x:is>
      </x:c>
    </x:row>
    <x:row r="10" ht="48" customHeight="1">
      <x:c r="A10" s="9" t="inlineStr">
        <x:is>
          <x:t xml:space="preserve">10회 뽑기 비용</x:t>
        </x:is>
      </x:c>
      <x:c r="B10" s="9" t="inlineStr">
        <x:is>
          <x:t xml:space="preserve">900 다이아</x:t>
        </x:is>
      </x:c>
      <x:c r="C10" s="9" t="inlineStr">
        <x:is>
          <x:t xml:space="preserve">-</x:t>
        </x:is>
      </x:c>
      <x:c r="D10" s="9" t="inlineStr">
        <x:is>
          <x:t xml:space="preserve">OutgameProgressionConfig</x:t>
        </x:is>
      </x:c>
    </x:row>
    <x:row r="11" ht="48" customHeight="1">
      <x:c r="A11" s="9" t="inlineStr">
        <x:is>
          <x:t xml:space="preserve">명함 획득</x:t>
        </x:is>
      </x:c>
      <x:c r="B11" s="9" t="inlineStr">
        <x:is>
          <x:t xml:space="preserve">처음 획득은 비교적 쉽게</x:t>
        </x:is>
      </x:c>
      <x:c r="C11" s="9" t="inlineStr">
        <x:is>
          <x:t xml:space="preserve">최초 해금 필요 카드 1장</x:t>
        </x:is>
      </x:c>
      <x:c r="D11" s="9" t="inlineStr">
        <x:is>
          <x:t xml:space="preserve">OutgameProgressionConfig</x:t>
        </x:is>
      </x:c>
    </x:row>
    <x:row r="12" ht="48" customHeight="1">
      <x:c r="A12" s="9" t="inlineStr">
        <x:is>
          <x:t xml:space="preserve">카드 성장</x:t>
        </x:is>
      </x:c>
      <x:c r="B12" s="9" t="inlineStr">
        <x:is>
          <x:t xml:space="preserve">레벨 2 필요 중복 2장, 이후 레벨당 +1장</x:t>
        </x:is>
      </x:c>
      <x:c r="C12" s="9" t="inlineStr">
        <x:is>
          <x:t xml:space="preserve">최대 카드 레벨 20</x:t>
        </x:is>
      </x:c>
      <x:c r="D12" s="9" t="inlineStr">
        <x:is>
          <x:t xml:space="preserve">OutgameProgressionConfig</x:t>
        </x:is>
      </x:c>
    </x:row>
    <x:row r="13" ht="48" customHeight="1">
      <x:c r="A13" s="9" t="inlineStr">
        <x:is>
          <x:t xml:space="preserve">기본 스탯 성장</x:t>
        </x:is>
      </x:c>
      <x:c r="B13" s="9" t="inlineStr">
        <x:is>
          <x:t xml:space="preserve">카드 레벨당 공격력 +3%, 최대 체력 +3%</x:t>
        </x:is>
      </x:c>
      <x:c r="C13" s="9" t="inlineStr">
        <x:is>
          <x:t xml:space="preserve">현재 추천 방식</x:t>
        </x:is>
      </x:c>
      <x:c r="D13" s="9" t="inlineStr">
        <x:is>
          <x:t xml:space="preserve">CharacterDatabase.cs</x:t>
        </x:is>
      </x:c>
    </x:row>
    <x:row r="14" ht="48" customHeight="1">
      <x:c r="A14" s="9" t="inlineStr">
        <x:is>
          <x:t xml:space="preserve">스킬 성장 표기</x:t>
        </x:is>
      </x:c>
      <x:c r="B14" s="9" t="inlineStr">
        <x:is>
          <x:t xml:space="preserve">성장 대상 수치는 레벨당 +5% 선형 표기</x:t>
        </x:is>
      </x:c>
      <x:c r="C14" s="9" t="inlineStr">
        <x:is>
          <x:t xml:space="preserve">SkillDefinition.growthStepRatio = 0.05</x:t>
        </x:is>
      </x:c>
      <x:c r="D14" s="9" t="inlineStr">
        <x:is>
          <x:t xml:space="preserve">CharacterCombatTuningConfig.asset / SkillDefinition</x:t>
        </x:is>
      </x:c>
    </x:row>
    <x:row r="15" ht="48" customHeight="1">
      <x:c r="A15" s="9" t="inlineStr">
        <x:is>
          <x:t xml:space="preserve">몬스터 성장 보정</x:t>
        </x:is>
      </x:c>
      <x:c r="B15" s="9" t="inlineStr">
        <x:is>
          <x:t xml:space="preserve">평균 성장 레벨에 따라 일반/보스 체력/공격 스케일</x:t>
        </x:is>
      </x:c>
      <x:c r="C15" s="9" t="inlineStr">
        <x:is>
          <x:t xml:space="preserve">상한: HP +75%, ATK +50%</x:t>
        </x:is>
      </x:c>
      <x:c r="D15" s="9" t="inlineStr">
        <x:is>
          <x:t xml:space="preserve">CharacterDatabase.cs / OutgameProgressionConfig</x:t>
        </x:is>
      </x:c>
    </x:row>
    <x:row r="16" ht="32" customHeight="1">
      <x:c r="A16" s="226" t="str">
        <x:v>서비스 소환 자격</x:v>
      </x:c>
      <x:c r="B16" s="226" t="str">
        <x:v>계정 인벤 보유 유닛만</x:v>
      </x:c>
      <x:c r="C16" s="226" t="str">
        <x:v>Test 모드는 전체 허용 가능</x:v>
      </x:c>
      <x:c r="D16" s="226" t="str">
        <x:v>서비스_획득설계_0806</x:v>
      </x:c>
    </x:row>
    <x:row r="17" ht="32" customHeight="1">
      <x:c r="A17" s="226" t="str">
        <x:v>상점 획득 상한</x:v>
      </x:c>
      <x:c r="B17" s="226" t="str">
        <x:v>일반~전설</x:v>
      </x:c>
      <x:c r="C17" s="226" t="str">
        <x:v>신화/초월 직접 상점 판매 제외</x:v>
      </x:c>
      <x:c r="D17" s="226" t="str">
        <x:v>서비스_획득설계_0806</x:v>
      </x:c>
    </x:row>
    <x:row r="18" ht="32" customHeight="1">
      <x:c r="A18" s="226" t="str">
        <x:v>신화/초월 획득</x:v>
      </x:c>
      <x:c r="B18" s="226" t="str">
        <x:v>얏찌·전용 패키지·패스</x:v>
      </x:c>
      <x:c r="C18" s="226" t="str">
        <x:v>무료 경로는 얏찌/무료 패스</x:v>
      </x:c>
      <x:c r="D18" s="226" t="str">
        <x:v>얏찌_제작명세_0806</x:v>
      </x:c>
    </x:row>
    <x:row r="19" ht="32" customHeight="1">
      <x:c r="A19" s="226" t="str">
        <x:v>얏찌 재화</x:v>
      </x:c>
      <x:c r="B19" s="226" t="str">
        <x:v>티켓 1장/세션 + 100G 재굴림 + 20/50DIA 홀드</x:v>
      </x:c>
      <x:c r="C19" s="226" t="str">
        <x:v>재굴림 천장 없음</x:v>
      </x:c>
      <x:c r="D19" s="226" t="str">
        <x:v>얏찌_제작명세_0806</x:v>
      </x:c>
    </x:row>
    <x:row r="20" ht="32" customHeight="1">
      <x:c r="A20" s="226" t="str">
        <x:v>신규 유닛 노출</x:v>
      </x:c>
      <x:c r="B20" s="226" t="str">
        <x:v>같은 등급 내 출시 1/2/3주 40/30/20% 목표</x:v>
      </x:c>
      <x:c r="C20" s="226" t="str">
        <x:v>등급 확률은 변경하지 않음</x:v>
      </x:c>
      <x:c r="D20" s="226" t="str">
        <x:v>소환가중치_서비스</x:v>
      </x:c>
    </x:row>
  </x:sheetData>
  <x:pageMargins left="0.7" right="0.7" top="0.75" bottom="0.75" header="0.3" footer="0.3"/>
  <x:tableParts count="1">
    <x:tablePart xmlns:r="http://schemas.openxmlformats.org/officeDocument/2006/relationships" r:id="R5d92227e78b84d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46" customWidth="1"/>
    <x:col min="4" max="4" width="38" customWidth="1"/>
    <x:col min="5" max="5" width="32" customWidth="1"/>
  </x:cols>
  <x:sheetData>
    <x:row r="1" ht="30" customHeight="1">
      <x:c r="A1" s="1" t="inlineStr">
        <x:is>
          <x:t xml:space="preserve">하루 플레이/보스 밸런스 기준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초반 강함, 중반부터 몬스터 스킬 허들</x:t>
        </x:is>
      </x:c>
      <x:c r="B2" s="5" t="n"/>
      <x:c r="C2" s="5" t="n"/>
      <x:c r="D2" s="5" t="n"/>
      <x:c r="E2" s="6" t="n"/>
    </x:row>
    <x:row r="3" ht="15" customHeight="1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구간/유저</x:t>
        </x:is>
      </x:c>
      <x:c r="B4" s="8" t="inlineStr">
        <x:is>
          <x:t xml:space="preserve">목표 시간</x:t>
        </x:is>
      </x:c>
      <x:c r="C4" s="8" t="inlineStr">
        <x:is>
          <x:t xml:space="preserve">요구 성장 기준</x:t>
        </x:is>
      </x:c>
      <x:c r="D4" s="8" t="inlineStr">
        <x:is>
          <x:t xml:space="preserve">플레이 감각</x:t>
        </x:is>
      </x:c>
      <x:c r="E4" s="8" t="inlineStr">
        <x:is>
          <x:t xml:space="preserve">메모</x:t>
        </x:is>
      </x:c>
    </x:row>
    <x:row r="5" ht="48" customHeight="1">
      <x:c r="A5" s="9" t="inlineStr">
        <x:is>
          <x:t xml:space="preserve">일반 유저</x:t>
        </x:is>
      </x:c>
      <x:c r="B5" s="9" t="inlineStr">
        <x:is>
          <x:t xml:space="preserve">하루 30~60분</x:t>
        </x:is>
      </x:c>
      <x:c r="C5" s="9" t="inlineStr">
        <x:is>
          <x:t xml:space="preserve">일일 필수 숙제는 20~40분 안에 종료</x:t>
        </x:is>
      </x:c>
      <x:c r="D5" s="9" t="inlineStr">
        <x:is>
          <x:t xml:space="preserve">부담 없이 보상 회수</x:t>
        </x:is>
      </x:c>
      <x:c r="E5" s="9" t="inlineStr">
        <x:is>
          <x:t xml:space="preserve">3시간을 필수로 만들지 않음</x:t>
        </x:is>
      </x:c>
    </x:row>
    <x:row r="6" ht="48" customHeight="1">
      <x:c r="A6" s="9" t="inlineStr">
        <x:is>
          <x:t xml:space="preserve">적극 유저</x:t>
        </x:is>
      </x:c>
      <x:c r="B6" s="9" t="inlineStr">
        <x:is>
          <x:t xml:space="preserve">하루 1~2시간</x:t>
        </x:is>
      </x:c>
      <x:c r="C6" s="9" t="inlineStr">
        <x:is>
          <x:t xml:space="preserve">성장 재료와 덱 개선이 눈에 보임</x:t>
        </x:is>
      </x:c>
      <x:c r="D6" s="9" t="inlineStr">
        <x:is>
          <x:t xml:space="preserve">추가 플레이 가치 제공</x:t>
        </x:is>
      </x:c>
      <x:c r="E6" s="9" t="inlineStr">
        <x:is>
          <x:t xml:space="preserve"/>
        </x:is>
      </x:c>
    </x:row>
    <x:row r="7" ht="48" customHeight="1">
      <x:c r="A7" s="9" t="inlineStr">
        <x:is>
          <x:t xml:space="preserve">깊게 파는 유저/테스트</x:t>
        </x:is>
      </x:c>
      <x:c r="B7" s="9" t="inlineStr">
        <x:is>
          <x:t xml:space="preserve">하루 3시간</x:t>
        </x:is>
      </x:c>
      <x:c r="C7" s="9" t="inlineStr">
        <x:is>
          <x:t xml:space="preserve">무과금 적극 플레이 기준</x:t>
        </x:is>
      </x:c>
      <x:c r="D7" s="9" t="inlineStr">
        <x:is>
          <x:t xml:space="preserve">1~2일 누적 3~6시간 재미 보장</x:t>
        </x:is>
      </x:c>
      <x:c r="E7" s="9" t="inlineStr">
        <x:is>
          <x:t xml:space="preserve">서비스 밸런스 기준</x:t>
        </x:is>
      </x:c>
    </x:row>
    <x:row r="8" ht="48" customHeight="1">
      <x:c r="A8" s="9" t="inlineStr">
        <x:is>
          <x:t xml:space="preserve">보스 1</x:t>
        </x:is>
      </x:c>
      <x:c r="B8" s="9" t="inlineStr">
        <x:is>
          <x:t xml:space="preserve">Day 1 / 0~30분</x:t>
        </x:is>
      </x:c>
      <x:c r="C8" s="9" t="inlineStr">
        <x:is>
          <x:t xml:space="preserve">희귀 1개면 클리어 흐름이 보임</x:t>
        </x:is>
      </x:c>
      <x:c r="D8" s="9" t="inlineStr">
        <x:is>
          <x:t xml:space="preserve">첫 허들이지만 기분 좋게 돌파</x:t>
        </x:is>
      </x:c>
      <x:c r="E8" s="9" t="inlineStr">
        <x:is>
          <x:t xml:space="preserve">초반 승리감 유지</x:t>
        </x:is>
      </x:c>
    </x:row>
    <x:row r="9" ht="48" customHeight="1">
      <x:c r="A9" s="9" t="inlineStr">
        <x:is>
          <x:t xml:space="preserve">보스 2</x:t>
        </x:is>
      </x:c>
      <x:c r="B9" s="9" t="inlineStr">
        <x:is>
          <x:t xml:space="preserve">Day 1 / 30~90분</x:t>
        </x:is>
      </x:c>
      <x:c r="C9" s="9" t="inlineStr">
        <x:is>
          <x:t xml:space="preserve">희귀 1개 + 안정적 배치</x:t>
        </x:is>
      </x:c>
      <x:c r="D9" s="9" t="inlineStr">
        <x:is>
          <x:t xml:space="preserve">배치 가치가 보이기 시작</x:t>
        </x:is>
      </x:c>
      <x:c r="E9" s="9" t="inlineStr">
        <x:is>
          <x:t xml:space="preserve"/>
        </x:is>
      </x:c>
    </x:row>
    <x:row r="10" ht="48" customHeight="1">
      <x:c r="A10" s="9" t="inlineStr">
        <x:is>
          <x:t xml:space="preserve">보스 3</x:t>
        </x:is>
      </x:c>
      <x:c r="B10" s="9" t="inlineStr">
        <x:is>
          <x:t xml:space="preserve">Day 1 / 90~180분</x:t>
        </x:is>
      </x:c>
      <x:c r="C10" s="9" t="inlineStr">
        <x:is>
          <x:t xml:space="preserve">희귀 2개 이상 또는 강한 레어 시너지</x:t>
        </x:is>
      </x:c>
      <x:c r="D10" s="9" t="inlineStr">
        <x:is>
          <x:t xml:space="preserve">몬스터 스킬 때문에 성장 필요</x:t>
        </x:is>
      </x:c>
      <x:c r="E10" s="9" t="inlineStr">
        <x:is>
          <x:t xml:space="preserve">첫 중반 허들</x:t>
        </x:is>
      </x:c>
    </x:row>
    <x:row r="11" ht="48" customHeight="1">
      <x:c r="A11" s="9" t="inlineStr">
        <x:is>
          <x:t xml:space="preserve">보스 4</x:t>
        </x:is>
      </x:c>
      <x:c r="B11" s="9" t="inlineStr">
        <x:is>
          <x:t xml:space="preserve">Day 2 시작</x:t>
        </x:is>
      </x:c>
      <x:c r="C11" s="9" t="inlineStr">
        <x:is>
          <x:t xml:space="preserve">전설 준비가 중요해지기 시작</x:t>
        </x:is>
      </x:c>
      <x:c r="D11" s="9" t="inlineStr">
        <x:is>
          <x:t xml:space="preserve">뽑기/성장 목표가 생김</x:t>
        </x:is>
      </x:c>
      <x:c r="E11" s="9" t="inlineStr">
        <x:is>
          <x:t xml:space="preserve"/>
        </x:is>
      </x:c>
    </x:row>
    <x:row r="12" ht="48" customHeight="1">
      <x:c r="A12" s="9" t="inlineStr">
        <x:is>
          <x:t xml:space="preserve">보스 5</x:t>
        </x:is>
      </x:c>
      <x:c r="B12" s="9" t="inlineStr">
        <x:is>
          <x:t xml:space="preserve">Day 2</x:t>
        </x:is>
      </x:c>
      <x:c r="C12" s="9" t="inlineStr">
        <x:is>
          <x:t xml:space="preserve">전설 1개가 안정 클리어 기준</x:t>
        </x:is>
      </x:c>
      <x:c r="D12" s="9" t="inlineStr">
        <x:is>
          <x:t xml:space="preserve">중후반 안정 기준</x:t>
        </x:is>
      </x:c>
      <x:c r="E12" s="9" t="inlineStr">
        <x:is>
          <x:t xml:space="preserve"/>
        </x:is>
      </x:c>
    </x:row>
    <x:row r="13" ht="48" customHeight="1">
      <x:c r="A13" s="9" t="inlineStr">
        <x:is>
          <x:t xml:space="preserve">보스 6~7</x:t>
        </x:is>
      </x:c>
      <x:c r="B13" s="9" t="inlineStr">
        <x:is>
          <x:t xml:space="preserve">Day 2 이후</x:t>
        </x:is>
      </x:c>
      <x:c r="C13" s="9" t="inlineStr">
        <x:is>
          <x:t xml:space="preserve">전설 중심 덱 또는 여러 희귀 성장 필요</x:t>
        </x:is>
      </x:c>
      <x:c r="D13" s="9" t="inlineStr">
        <x:is>
          <x:t xml:space="preserve">보스 스킬 대응 필요</x:t>
        </x:is>
      </x:c>
      <x:c r="E13" s="9" t="inlineStr">
        <x:is>
          <x:t xml:space="preserve"/>
        </x:is>
      </x:c>
    </x:row>
    <x:row r="14" ht="48" customHeight="1">
      <x:c r="A14" s="9" t="inlineStr">
        <x:is>
          <x:t xml:space="preserve">보스 8+</x:t>
        </x:is>
      </x:c>
      <x:c r="B14" s="9" t="inlineStr">
        <x:is>
          <x:t xml:space="preserve">장기 진행</x:t>
        </x:is>
      </x:c>
      <x:c r="C14" s="9" t="inlineStr">
        <x:is>
          <x:t xml:space="preserve">덱 성장, 배치, 보스 스킬 대응 모두 필요</x:t>
        </x:is>
      </x:c>
      <x:c r="D14" s="9" t="inlineStr">
        <x:is>
          <x:t xml:space="preserve">장기 목표</x:t>
        </x:is>
      </x:c>
      <x:c r="E14" s="9" t="inlineStr">
        <x:is>
          <x:t xml:space="preserve"/>
        </x:is>
      </x:c>
    </x:row>
    <x:row r="16" ht="15" customHeight="1">
      <x:c r="A16" s="12" t="inlineStr">
        <x:is>
          <x:t xml:space="preserve">런 변동성 밸런스 기준</x:t>
        </x:is>
      </x:c>
    </x:row>
    <x:row r="17" ht="15" customHeight="1">
      <x:c r="A17" s="13" t="inlineStr">
        <x:is>
          <x:t xml:space="preserve">구간</x:t>
        </x:is>
      </x:c>
      <x:c r="B17" s="13" t="inlineStr">
        <x:is>
          <x:t xml:space="preserve">추가 컨텐츠</x:t>
        </x:is>
      </x:c>
      <x:c r="C17" s="13" t="inlineStr">
        <x:is>
          <x:t xml:space="preserve">목표 감각</x:t>
        </x:is>
      </x:c>
      <x:c r="D17" s="13" t="inlineStr">
        <x:is>
          <x:t xml:space="preserve">튜닝 기준</x:t>
        </x:is>
      </x:c>
      <x:c r="E17" s="13" t="inlineStr">
        <x:is>
          <x:t xml:space="preserve">메모</x:t>
        </x:is>
      </x:c>
    </x:row>
    <x:row r="18" ht="15" customHeight="1">
      <x:c r="A18" s="10" t="inlineStr">
        <x:is>
          <x:t xml:space="preserve">초반 1~5R</x:t>
        </x:is>
      </x:c>
      <x:c r="B18" s="10" t="inlineStr">
        <x:is>
          <x:t xml:space="preserve">쉬운 미션, 이로운 타일, 낮은 가격 상점</x:t>
        </x:is>
      </x:c>
      <x:c r="C18" s="10" t="inlineStr">
        <x:is>
          <x:t xml:space="preserve">내가 강하다는 느낌</x:t>
        </x:is>
      </x:c>
      <x:c r="D18" s="10" t="inlineStr">
        <x:is>
          <x:t xml:space="preserve">보상은 작지만 자주 터지게</x:t>
        </x:is>
      </x:c>
      <x:c r="E18" s="10" t="inlineStr">
        <x:is>
          <x:t xml:space="preserve">실패해도 진행이 막히지 않게</x:t>
        </x:is>
      </x:c>
    </x:row>
    <x:row r="19" ht="15" customHeight="1">
      <x:c r="A19" s="10" t="inlineStr">
        <x:is>
          <x:t xml:space="preserve">중반 6~15R</x:t>
        </x:is>
      </x:c>
      <x:c r="B19" s="10" t="inlineStr">
        <x:is>
          <x:t xml:space="preserve">보스 스킬, 레시피 추적, 상점 선택</x:t>
        </x:is>
      </x:c>
      <x:c r="C19" s="10" t="inlineStr">
        <x:is>
          <x:t xml:space="preserve">덱/배치/등급 성장이 필요</x:t>
        </x:is>
      </x:c>
      <x:c r="D19" s="10" t="inlineStr">
        <x:is>
          <x:t xml:space="preserve">마나번/기절/골드징수 빈도 확인</x:t>
        </x:is>
      </x:c>
      <x:c r="E19" s="10" t="inlineStr">
        <x:is>
          <x:t xml:space="preserve">첫 허들 구간</x:t>
        </x:is>
      </x:c>
    </x:row>
    <x:row r="20" ht="15" customHeight="1">
      <x:c r="A20" s="10" t="inlineStr">
        <x:is>
          <x:t xml:space="preserve">보스 전후</x:t>
        </x:is>
      </x:c>
      <x:c r="B20" s="10" t="inlineStr">
        <x:is>
          <x:t xml:space="preserve">보스 정보, 보스 타일, 위험 상자</x:t>
        </x:is>
      </x:c>
      <x:c r="C20" s="10" t="inlineStr">
        <x:is>
          <x:t xml:space="preserve">대응 준비와 한방 보상</x:t>
        </x:is>
      </x:c>
      <x:c r="D20" s="10" t="inlineStr">
        <x:is>
          <x:t xml:space="preserve">보스 패턴 난이도와 보상 최고점 조절</x:t>
        </x:is>
      </x:c>
      <x:c r="E20" s="10" t="inlineStr">
        <x:is>
          <x:t xml:space="preserve">전설/희귀 목표를 만들기</x:t>
        </x:is>
      </x:c>
    </x:row>
    <x:row r="21" ht="15" customHeight="1">
      <x:c r="A21" s="10" t="inlineStr">
        <x:is>
          <x:t xml:space="preserve">장기 진행</x:t>
        </x:is>
      </x:c>
      <x:c r="B21" s="10" t="inlineStr">
        <x:is>
          <x:t xml:space="preserve">초월 레시피, 고등급 미션, 타일 리롤</x:t>
        </x:is>
      </x:c>
      <x:c r="C21" s="10" t="inlineStr">
        <x:is>
          <x:t xml:space="preserve">다음 판 목표가 보임</x:t>
        </x:is>
      </x:c>
      <x:c r="D21" s="10" t="inlineStr">
        <x:is>
          <x:t xml:space="preserve">레시피 재료 노출과 상점 가격 조절</x:t>
        </x:is>
      </x:c>
      <x:c r="E21" s="10" t="inlineStr">
        <x:is>
          <x:t xml:space="preserve">반복 피로도 완화</x:t>
        </x:is>
      </x:c>
    </x:row>
    <x:row r="22" ht="15" customHeight="1">
      <x:c r="A22" s="10" t="inlineStr">
        <x:is>
          <x:t xml:space="preserve">상점 주기</x:t>
        </x:is>
      </x:c>
      <x:c r="B22" s="10" t="inlineStr">
        <x:is>
          <x:t xml:space="preserve">firstShopRound=6, shopInterval=3 / earlyMiniShopRound=3 / recoveryShop=R4~10</x:t>
        </x:is>
      </x:c>
      <x:c r="C22" s="10" t="inlineStr">
        <x:is>
          <x:t xml:space="preserve">정식 상점은 늦추고, R3 소형 상점으로 첫 합성선 보정</x:t>
        </x:is>
      </x:c>
      <x:c r="D22" s="10" t="inlineStr">
        <x:is>
          <x:t xml:space="preserve">RunShopSystem에서 조절</x:t>
        </x:is>
      </x:c>
      <x:c r="E22" s="10" t="inlineStr">
        <x:is>
          <x:t xml:space="preserve">R3 3개 선택지, 가격 72%, 합성 부스터 고정 1개</x:t>
        </x:is>
      </x:c>
    </x:row>
    <x:row r="23" ht="15" customHeight="1">
      <x:c r="A23" s="10" t="inlineStr">
        <x:is>
          <x:t xml:space="preserve">타일 주기</x:t>
        </x:is>
      </x:c>
      <x:c r="B23" s="10" t="inlineStr">
        <x:is>
          <x:t xml:space="preserve">rerollInterval=3</x:t>
        </x:is>
      </x:c>
      <x:c r="C23" s="10" t="inlineStr">
        <x:is>
          <x:t xml:space="preserve">배치가 주기적으로 바뀜</x:t>
        </x:is>
      </x:c>
      <x:c r="D23" s="10" t="inlineStr">
        <x:is>
          <x:t xml:space="preserve">BoardTileModifierSystem에서 조절</x:t>
        </x:is>
      </x:c>
      <x:c r="E23" s="10" t="inlineStr">
        <x:is>
          <x:t xml:space="preserve">초반 2개, 중반 3개, 후반 4개</x:t>
        </x:is>
      </x:c>
    </x:row>
    <x:row r="24" ht="15" customHeight="1">
      <x:c r="A24" s="10" t="inlineStr">
        <x:is>
          <x:t xml:space="preserve">랜덤 보상</x:t>
        </x:is>
      </x:c>
      <x:c r="B24" s="10" t="inlineStr">
        <x:is>
          <x:t xml:space="preserve">룰렛/잭팟/위험상자</x:t>
        </x:is>
      </x:c>
      <x:c r="C24" s="10" t="inlineStr">
        <x:is>
          <x:t xml:space="preserve">도파민 최고점 제공</x:t>
        </x:is>
      </x:c>
      <x:c r="D24" s="10" t="inlineStr">
        <x:is>
          <x:t xml:space="preserve">평균값은 낮추고 최고점은 높임</x:t>
        </x:is>
      </x:c>
      <x:c r="E24" s="10" t="inlineStr">
        <x:is>
          <x:t xml:space="preserve">운빨 감각 담당</x:t>
        </x:is>
      </x:c>
    </x:row>
    <x:row r="26">
      <x:c r="A26" s="31" t="inlineStr">
        <x:is>
          <x:t xml:space="preserve">2026-06-16 초반 15분 튜닝 기준</x:t>
        </x:is>
      </x:c>
    </x:row>
    <x:row r="27">
      <x:c r="A27" s="27" t="inlineStr">
        <x:is>
          <x:t xml:space="preserve">구간</x:t>
        </x:is>
      </x:c>
      <x:c r="B27" s="27" t="inlineStr">
        <x:is>
          <x:t xml:space="preserve">현재 기준</x:t>
        </x:is>
      </x:c>
      <x:c r="C27" s="27" t="inlineStr">
        <x:is>
          <x:t xml:space="preserve">판단</x:t>
        </x:is>
      </x:c>
      <x:c r="D27" s="27" t="inlineStr">
        <x:is>
          <x:t xml:space="preserve">조정 위치</x:t>
        </x:is>
      </x:c>
      <x:c r="E27" s="27" t="inlineStr">
        <x:is>
          <x:t xml:space="preserve">메모</x:t>
        </x:is>
      </x:c>
    </x:row>
    <x:row r="28">
      <x:c r="A28" s="36" t="inlineStr">
        <x:is>
          <x:t xml:space="preserve">R1~R5 경제</x:t>
        </x:is>
      </x:c>
      <x:c r="B28" s="32" t="inlineStr">
        <x:is>
          <x:t xml:space="preserve">시작 골드 30, R1~5 소환비 증가 0</x:t>
        </x:is>
      </x:c>
      <x:c r="C28" s="36" t="inlineStr">
        <x:is>
          <x:t xml:space="preserve">첫 5분 안에 첫 Rare+/첫 합성 경험 보장</x:t>
        </x:is>
      </x:c>
      <x:c r="D28" s="36" t="inlineStr">
        <x:is>
          <x:t xml:space="preserve">DefenseGameController</x:t>
        </x:is>
      </x:c>
      <x:c r="E28" s="36" t="inlineStr">
        <x:is>
          <x:t xml:space="preserve">R6 이후 소환마다 +1, 최대 80</x:t>
        </x:is>
      </x:c>
    </x:row>
    <x:row r="29">
      <x:c r="A29" s="36" t="inlineStr">
        <x:is>
          <x:t xml:space="preserve">R3 소형 상점</x:t>
        </x:is>
      </x:c>
      <x:c r="B29" s="32" t="inlineStr">
        <x:is>
          <x:t xml:space="preserve">선택지 3개, 가격 72%, 합성 부스터 고정</x:t>
        </x:is>
      </x:c>
      <x:c r="C29" s="36" t="inlineStr">
        <x:is>
          <x:t xml:space="preserve">초반 반복감 완화 + 첫 합성선 보정</x:t>
        </x:is>
      </x:c>
      <x:c r="D29" s="36" t="inlineStr">
        <x:is>
          <x:t xml:space="preserve">RunShopSystem</x:t>
        </x:is>
      </x:c>
      <x:c r="E29" s="36" t="inlineStr">
        <x:is>
          <x:t xml:space="preserve">복잡하면 선택지 2개 또는 R4로 지연</x:t>
        </x:is>
      </x:c>
    </x:row>
    <x:row r="30">
      <x:c r="A30" s="36" t="inlineStr">
        <x:is>
          <x:t xml:space="preserve">R4~R10 회복 상점</x:t>
        </x:is>
      </x:c>
      <x:c r="B30" s="32" t="inlineStr">
        <x:is>
          <x:t xml:space="preserve">회복 필요 시 1회 노출, 선택지 3개</x:t>
        </x:is>
      </x:c>
      <x:c r="C30" s="36" t="inlineStr">
        <x:is>
          <x:t xml:space="preserve">보상 부족보다 생명력 압박을 완화</x:t>
        </x:is>
      </x:c>
      <x:c r="D30" s="36" t="inlineStr">
        <x:is>
          <x:t xml:space="preserve">RunShopSystem / DefenseGameController</x:t>
        </x:is>
      </x:c>
      <x:c r="E30" s="36" t="inlineStr">
        <x:is>
          <x:t xml:space="preserve">생명력 50% 이하도 회복 추천 조건</x:t>
        </x:is>
      </x:c>
    </x:row>
    <x:row r="31">
      <x:c r="A31" s="36" t="inlineStr">
        <x:is>
          <x:t xml:space="preserve">라운드 스폰</x:t>
        </x:is>
      </x:c>
      <x:c r="B31" s="32" t="inlineStr">
        <x:is>
          <x:t xml:space="preserve">R1 6(+1.5), R4 10(+1.2), R10 22(+2.3)</x:t>
        </x:is>
      </x:c>
      <x:c r="C31" s="36" t="inlineStr">
        <x:is>
          <x:t xml:space="preserve">초반 압박 완화</x:t>
        </x:is>
      </x:c>
      <x:c r="D31" s="36" t="inlineStr">
        <x:is>
          <x:t xml:space="preserve">RoundManager</x:t>
        </x:is>
      </x:c>
      <x:c r="E31" s="36" t="inlineStr">
        <x:is>
          <x:t xml:space="preserve">압박 보너스 2/2/3</x:t>
        </x:is>
      </x:c>
    </x:row>
    <x:row r="32">
      <x:c r="A32" s="36" t="inlineStr">
        <x:is>
          <x:t xml:space="preserve">중간보스</x:t>
        </x:is>
      </x:c>
      <x:c r="B32" s="32" t="inlineStr">
        <x:is>
          <x:t xml:space="preserve">HP x2.2, ATK x1.12, R5부터 5라운드 간격</x:t>
        </x:is>
      </x:c>
      <x:c r="C32" s="36" t="inlineStr">
        <x:is>
          <x:t xml:space="preserve">R1~10 과압박 완화</x:t>
        </x:is>
      </x:c>
      <x:c r="D32" s="36" t="inlineStr">
        <x:is>
          <x:t xml:space="preserve">MonsterDatabase / RoundManager</x:t>
        </x:is>
      </x:c>
      <x:c r="E32" s="36" t="inlineStr">
        <x:is>
          <x:t xml:space="preserve">기존보다 HP/ATK 완화</x:t>
        </x:is>
      </x:c>
    </x:row>
    <x:row r="33">
      <x:c r="A33" s="36" t="inlineStr">
        <x:is>
          <x:t xml:space="preserve">실측 결과</x:t>
        </x:is>
      </x:c>
      <x:c r="B33" s="32" t="inlineStr">
        <x:is>
          <x:t xml:space="preserve">Run1 R9 사망, Run2 R10 클리어 HP 4/20</x:t>
        </x:is>
      </x:c>
      <x:c r="C33" s="36" t="inlineStr">
        <x:is>
          <x:t xml:space="preserve">첫 5분 사건 루프는 작동</x:t>
        </x:is>
      </x:c>
      <x:c r="D33" s="36" t="inlineStr">
        <x:is>
          <x:t xml:space="preserve">GameplayTuningReference.md</x:t>
        </x:is>
      </x:c>
      <x:c r="E33" s="36" t="inlineStr">
        <x:is>
          <x:t xml:space="preserve">다음 실측에서 회복상점 빈도 확인</x:t>
        </x:is>
      </x:c>
    </x:row>
    <x:row r="34">
      <x:c r="A34" s="36" t="inlineStr">
        <x:is>
          <x:t xml:space="preserve">다음 조정</x:t>
        </x:is>
      </x:c>
      <x:c r="B34" s="32" t="inlineStr">
        <x:is>
          <x:t xml:space="preserve">slowEarlyClearSeconds 54, boss HP 30%, earlyPityEpicChance 12%</x:t>
        </x:is>
      </x:c>
      <x:c r="C34" s="36" t="inlineStr">
        <x:is>
          <x:t xml:space="preserve">회복상점 2회 모두 뜨면 난도 높음</x:t>
        </x:is>
      </x:c>
      <x:c r="D34" s="36" t="inlineStr">
        <x:is>
          <x:t xml:space="preserve">DefenseGameController</x:t>
        </x:is>
      </x:c>
      <x:c r="E34" s="36" t="inlineStr">
        <x:is>
          <x:t xml:space="preserve">빈도에 따라 기준값 상향</x:t>
        </x:is>
      </x:c>
    </x:row>
    <x:row r="36" ht="26" customHeight="1">
      <x:c r="A36" s="31" t="inlineStr">
        <x:is>
          <x:t xml:space="preserve">2026-06-19 난이도/운 이벤트 기준</x:t>
        </x:is>
      </x:c>
    </x:row>
    <x:row r="37" ht="26" customHeight="1">
      <x:c r="A37" s="27" t="inlineStr">
        <x:is>
          <x:t xml:space="preserve">항목</x:t>
        </x:is>
      </x:c>
      <x:c r="B37" s="27" t="inlineStr">
        <x:is>
          <x:t xml:space="preserve">현재 기준</x:t>
        </x:is>
      </x:c>
      <x:c r="C37" s="27" t="inlineStr">
        <x:is>
          <x:t xml:space="preserve">판단</x:t>
        </x:is>
      </x:c>
      <x:c r="D37" s="27" t="inlineStr">
        <x:is>
          <x:t xml:space="preserve">조정 위치</x:t>
        </x:is>
      </x:c>
      <x:c r="E37" s="27" t="inlineStr">
        <x:is>
          <x:t xml:space="preserve">메모</x:t>
        </x:is>
      </x:c>
    </x:row>
    <x:row r="38" ht="48" customHeight="1">
      <x:c r="A38" s="36" t="inlineStr">
        <x:is>
          <x:t xml:space="preserve">초반 신화 개방</x:t>
        </x:is>
      </x:c>
      <x:c r="B38" s="32" t="inlineStr">
        <x:is>
          <x:t xml:space="preserve">R1~R4 0%, R5 0.2%, R9 0.6%, R13 1.5%, R17 3%</x:t>
        </x:is>
      </x:c>
      <x:c r="C38" s="36" t="inlineStr">
        <x:is>
          <x:t xml:space="preserve">초반 대박은 전설까지, 신화는 중반 레시피 키 재료</x:t>
        </x:is>
      </x:c>
      <x:c r="D38" s="36" t="inlineStr">
        <x:is>
          <x:t xml:space="preserve">CharacterDatabase</x:t>
        </x:is>
      </x:c>
      <x:c r="E38" s="36" t="inlineStr">
        <x:is>
          <x:t xml:space="preserve">일반~전설 가치 보존</x:t>
        </x:is>
      </x:c>
    </x:row>
    <x:row r="39" ht="48" customHeight="1">
      <x:c r="A39" s="36" t="inlineStr">
        <x:is>
          <x:t xml:space="preserve">초월 레시피</x:t>
        </x:is>
      </x:c>
      <x:c r="B39" s="32" t="inlineStr">
        <x:is>
          <x:t xml:space="preserve">대부분 특정 신화 포함, 무신화는 5재료+보급형 결과</x:t>
        </x:is>
      </x:c>
      <x:c r="C39" s="36" t="inlineStr">
        <x:is>
          <x:t xml:space="preserve">최고등급 재료 사다리 유지</x:t>
        </x:is>
      </x:c>
      <x:c r="D39" s="36" t="inlineStr">
        <x:is>
          <x:t xml:space="preserve">DefenseBoardManager</x:t>
        </x:is>
      </x:c>
      <x:c r="E39" s="36" t="inlineStr">
        <x:is>
          <x:t xml:space="preserve">hero_31/32/33 키 분산</x:t>
        </x:is>
      </x:c>
    </x:row>
    <x:row r="40" ht="54" customHeight="1">
      <x:c r="A40" s="36" t="inlineStr">
        <x:is>
          <x:t xml:space="preserve">상점 등장</x:t>
        </x:is>
      </x:c>
      <x:c r="B40" s="32" t="inlineStr">
        <x:is>
          <x:t xml:space="preserve">소형 70%, 회복 65%, 정규 55%, 미등장 +20%, 정규 2회 미등장 후 보장</x:t>
        </x:is>
      </x:c>
      <x:c r="C40" s="36" t="inlineStr">
        <x:is>
          <x:t xml:space="preserve">나오면 대박, 안 나와도 천장 보정</x:t>
        </x:is>
      </x:c>
      <x:c r="D40" s="36" t="inlineStr">
        <x:is>
          <x:t xml:space="preserve">RunShopSystem</x:t>
        </x:is>
      </x:c>
      <x:c r="E40" s="36" t="inlineStr">
        <x:is>
          <x:t xml:space="preserve">증강체는 기존처럼 핵심 선택 유지</x:t>
        </x:is>
      </x:c>
    </x:row>
    <x:row r="41" ht="48" customHeight="1">
      <x:c r="A41" s="36" t="inlineStr">
        <x:is>
          <x:t xml:space="preserve">난이도 곡선</x:t>
        </x:is>
      </x:c>
      <x:c r="B41" s="32" t="inlineStr">
        <x:is>
          <x:t xml:space="preserve">초반 살려줌, 중반 욕심 유도, 후반 대가 회수</x:t>
        </x:is>
      </x:c>
      <x:c r="C41" s="36" t="inlineStr">
        <x:is>
          <x:t xml:space="preserve">허들은 실패보다 선택의 대가로 전달</x:t>
        </x:is>
      </x:c>
      <x:c r="D41" s="36" t="inlineStr">
        <x:is>
          <x:t xml:space="preserve">밸런스 운영 기준</x:t>
        </x:is>
      </x:c>
      <x:c r="E41" s="36" t="inlineStr">
        <x:is>
          <x:t xml:space="preserve">R1~R10 실측 필요</x:t>
        </x:is>
      </x:c>
    </x:row>
  </x:sheetData>
  <x:mergeCells>
    <x:mergeCell ref="A16:E16"/>
    <x:mergeCell ref="A26:E26"/>
    <x:mergeCell ref="A36:E36"/>
  </x:mergeCells>
  <x:pageMargins left="0.7" right="0.7" top="0.75" bottom="0.75" header="0.3" footer="0.3"/>
  <x:tableParts count="1">
    <x:tablePart xmlns:r="http://schemas.openxmlformats.org/officeDocument/2006/relationships" r:id="R104f72fb2b3240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8" customWidth="1"/>
    <x:col min="3" max="3" width="34" customWidth="1"/>
    <x:col min="4" max="4" width="72" customWidth="1"/>
  </x:cols>
  <x:sheetData>
    <x:row r="1" ht="30" customHeight="1">
      <x:c r="A1" s="1" t="inlineStr">
        <x:is>
          <x:t xml:space="preserve">수치 조절 위치</x:t>
        </x:is>
      </x:c>
      <x:c r="B1" s="2" t="n"/>
      <x:c r="C1" s="2" t="n"/>
      <x:c r="D1" s="3" t="n"/>
    </x:row>
    <x:row r="2" ht="22" customHeight="1">
      <x:c r="A2" s="4" t="inlineStr">
        <x:is>
          <x:t xml:space="preserve">하드코딩 대신 인스펙터/테이블로 조절할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파일</x:t>
        </x:is>
      </x:c>
      <x:c r="C4" s="8" t="inlineStr">
        <x:is>
          <x:t xml:space="preserve">섹션/클래스</x:t>
        </x:is>
      </x:c>
      <x:c r="D4" s="8" t="inlineStr">
        <x:is>
          <x:t xml:space="preserve">주요 조절 항목</x:t>
        </x:is>
      </x:c>
    </x:row>
    <x:row r="5" ht="58" customHeight="1">
      <x:c r="A5" s="9" t="inlineStr">
        <x:is>
          <x:t xml:space="preserve">라운드 스폰/타이밍</x:t>
        </x:is>
      </x:c>
      <x:c r="B5" s="9" t="inlineStr">
        <x:is>
          <x:t xml:space="preserve">Assets/Scripts/DefenseGame/RoundManager.cs</x:t>
        </x:is>
      </x:c>
      <x:c r="C5" s="9" t="inlineStr">
        <x:is>
          <x:t xml:space="preserve">Round Balance Tables</x:t>
        </x:is>
      </x:c>
      <x:c r="D5" s="9" t="inlineStr">
        <x:is>
          <x:t xml:space="preserve">일반 몬스터 수, 라운드당 증가량, 압박 라운드, 스폰 간격, 보스 지원몹, 중간보스 출현 주기</x:t>
        </x:is>
      </x:c>
    </x:row>
    <x:row r="6" ht="58" customHeight="1">
      <x:c r="A6" s="9" t="inlineStr">
        <x:is>
          <x:t xml:space="preserve">몬스터 등급 해금</x:t>
        </x:is>
      </x:c>
      <x:c r="B6" s="9" t="inlineStr">
        <x:is>
          <x:t xml:space="preserve">Assets/Scripts/DefenseGame/MonsterDatabase.cs</x:t>
        </x:is>
      </x:c>
      <x:c r="C6" s="9" t="inlineStr">
        <x:is>
          <x:t xml:space="preserve">Monster Grade Unlock Tables</x:t>
        </x:is>
      </x:c>
      <x:c r="D6" s="9" t="inlineStr">
        <x:is>
          <x:t xml:space="preserve">일반 몬스터 등급 해금 라운드, 중간보스 등급 해금, 스타터 몬스터 분포</x:t>
        </x:is>
      </x:c>
    </x:row>
    <x:row r="7" ht="58" customHeight="1">
      <x:c r="A7" s="9" t="inlineStr">
        <x:is>
          <x:t xml:space="preserve">몬스터 스탯</x:t>
        </x:is>
      </x:c>
      <x:c r="B7" s="9" t="inlineStr">
        <x:is>
          <x:t xml:space="preserve">Assets/Scripts/DefenseGame/MonsterDatabase.cs</x:t>
        </x:is>
      </x:c>
      <x:c r="C7" s="9" t="inlineStr">
        <x:is>
          <x:t xml:space="preserve">Monster Stat Balance</x:t>
        </x:is>
      </x:c>
      <x:c r="D7" s="9" t="inlineStr">
        <x:is>
          <x:t xml:space="preserve">역할별 스탯 보정, 중간보스/보스 기본 스탯</x:t>
        </x:is>
      </x:c>
    </x:row>
    <x:row r="8" ht="58" customHeight="1">
      <x:c r="A8" s="9" t="inlineStr">
        <x:is>
          <x:t xml:space="preserve">보스 진행 밸런스</x:t>
        </x:is>
      </x:c>
      <x:c r="B8" s="9" t="inlineStr">
        <x:is>
          <x:t xml:space="preserve">Assets/Scripts/DefenseGame/MonsterDatabase.cs</x:t>
        </x:is>
      </x:c>
      <x:c r="C8" s="9" t="inlineStr">
        <x:is>
          <x:t xml:space="preserve">Boss Progression Balance</x:t>
        </x:is>
      </x:c>
      <x:c r="D8" s="9" t="inlineStr">
        <x:is>
          <x:t xml:space="preserve">보스별 체력/공격/마나/스킬 파워/쿨타임/마나 발동 기준, 광역/마나번/골드 감소 수치</x:t>
        </x:is>
      </x:c>
    </x:row>
    <x:row r="9" ht="58" customHeight="1">
      <x:c r="A9" s="9" t="inlineStr">
        <x:is>
          <x:t xml:space="preserve">아웃게임 성장</x:t>
        </x:is>
      </x:c>
      <x:c r="B9" s="9" t="inlineStr">
        <x:is>
          <x:t xml:space="preserve">Assets/Scripts/DefenseGame/CharacterDatabase.cs</x:t>
        </x:is>
      </x:c>
      <x:c r="C9" s="9" t="inlineStr">
        <x:is>
          <x:t xml:space="preserve">OutgameProgressionConfig</x:t>
        </x:is>
      </x:c>
      <x:c r="D9" s="9" t="inlineStr">
        <x:is>
          <x:t xml:space="preserve">테스트/서비스 모드, 시작 영웅, 다이아, 상자 비용, 카드 성장 필요 장수, 뽑기 확률</x:t>
        </x:is>
      </x:c>
    </x:row>
    <x:row r="10" ht="58" customHeight="1">
      <x:c r="A10" s="9" t="inlineStr">
        <x:is>
          <x:t xml:space="preserve">영웅 전투/스킬</x:t>
        </x:is>
      </x:c>
      <x:c r="B10" s="9" t="inlineStr">
        <x:is>
          <x:t xml:space="preserve">Assets/Data/CharacterCombatTuningConfig.asset</x:t>
        </x:is>
      </x:c>
      <x:c r="C10" s="9" t="inlineStr">
        <x:is>
          <x:t xml:space="preserve">Entries</x:t>
        </x:is>
      </x:c>
      <x:c r="D10" s="9" t="inlineStr">
        <x:is>
          <x:t xml:space="preserve">공격 타입, 기본 사거리, 스킬 사거리, 마나, 스킬 수치</x:t>
        </x:is>
      </x:c>
    </x:row>
    <x:row r="11" ht="58" customHeight="1">
      <x:c r="A11" s="9" t="inlineStr">
        <x:is>
          <x:t xml:space="preserve">몬스터 전투/보스 FX</x:t>
        </x:is>
      </x:c>
      <x:c r="B11" s="9" t="inlineStr">
        <x:is>
          <x:t xml:space="preserve">Assets/Data/MonsterCombatTuningConfig.asset</x:t>
        </x:is>
      </x:c>
      <x:c r="C11" s="9" t="inlineStr">
        <x:is>
          <x:t xml:space="preserve">Entries / Boss FX</x:t>
        </x:is>
      </x:c>
      <x:c r="D11" s="9" t="inlineStr">
        <x:is>
          <x:t xml:space="preserve">이동속도, 사거리, 스플래시/관통, 보스 기본 스킬 FX</x:t>
        </x:is>
      </x:c>
    </x:row>
    <x:row r="13" ht="15" customHeight="1">
      <x:c r="A13" s="10" t="inlineStr">
        <x:is>
          <x:t xml:space="preserve">런 미션/룰렛</x:t>
        </x:is>
      </x:c>
      <x:c r="B13" s="10" t="inlineStr">
        <x:is>
          <x:t xml:space="preserve">Assets/Scripts/DefenseGame/TacticalMissionSystem.cs</x:t>
        </x:is>
      </x:c>
      <x:c r="C13" s="10" t="inlineStr">
        <x:is>
          <x:t xml:space="preserve">MissionKind / CreateMission / ResolvePendingRewards</x:t>
        </x:is>
      </x:c>
      <x:c r="D13" s="10" t="inlineStr">
        <x:is>
          <x:t xml:space="preserve">미션 조건, 목표 수치, 룰렛 범위, 잭팟 확률, 소환비 할인</x:t>
        </x:is>
      </x:c>
    </x:row>
    <x:row r="14" ht="15" customHeight="1">
      <x:c r="A14" s="10" t="inlineStr">
        <x:is>
          <x:t xml:space="preserve">럭키 이벤트/증강</x:t>
        </x:is>
      </x:c>
      <x:c r="B14" s="10" t="inlineStr">
        <x:is>
          <x:t xml:space="preserve">Assets/Scripts/DefenseGame/AugmentManager.cs</x:t>
        </x:is>
      </x:c>
      <x:c r="C14" s="10" t="inlineStr">
        <x:is>
          <x:t xml:space="preserve">EnsureDefaultPool</x:t>
        </x:is>
      </x:c>
      <x:c r="D14" s="10" t="inlineStr">
        <x:is>
          <x:t xml:space="preserve">증강체 선택지, 등장 라운드, 경제 보상, 위험/복권형 효과</x:t>
        </x:is>
      </x:c>
    </x:row>
    <x:row r="15" ht="15" customHeight="1">
      <x:c r="A15" s="10" t="inlineStr">
        <x:is>
          <x:t xml:space="preserve">초월 레시피</x:t>
        </x:is>
      </x:c>
      <x:c r="B15" s="10" t="inlineStr">
        <x:is>
          <x:t xml:space="preserve">Assets/Scripts/DefenseGame/DefenseBoardManager.cs</x:t>
        </x:is>
      </x:c>
      <x:c r="C15" s="10" t="inlineStr">
        <x:is>
          <x:t xml:space="preserve">UltimateRecipes</x:t>
        </x:is>
      </x:c>
      <x:c r="D15" s="10" t="inlineStr">
        <x:is>
          <x:t xml:space="preserve">hero_01~hero_24 레시피 재료, 진행도, 합성 결과</x:t>
        </x:is>
      </x:c>
    </x:row>
    <x:row r="16" ht="15" customHeight="1">
      <x:c r="A16" s="10" t="inlineStr">
        <x:is>
          <x:t xml:space="preserve">보스 패턴</x:t>
        </x:is>
      </x:c>
      <x:c r="B16" s="10" t="inlineStr">
        <x:is>
          <x:t xml:space="preserve">Assets/Scripts/DefenseGame/MonsterDatabase.cs</x:t>
        </x:is>
      </x:c>
      <x:c r="C16" s="10" t="inlineStr">
        <x:is>
          <x:t xml:space="preserve">BuildBossSkills</x:t>
        </x:is>
      </x:c>
      <x:c r="D16" s="10" t="inlineStr">
        <x:is>
          <x:t xml:space="preserve">8개 보스 패턴, 스킬 파워, 대상 수, 쿨타임, 마나 발동 기준</x:t>
        </x:is>
      </x:c>
    </x:row>
    <x:row r="17" ht="15" customHeight="1">
      <x:c r="A17" s="10" t="inlineStr">
        <x:is>
          <x:t xml:space="preserve">전투 상점</x:t>
        </x:is>
      </x:c>
      <x:c r="B17" s="10" t="inlineStr">
        <x:is>
          <x:t xml:space="preserve">Assets/Scripts/DefenseGame/RunShopSystem.cs</x:t>
        </x:is>
      </x:c>
      <x:c r="C17" s="10" t="inlineStr">
        <x:is>
          <x:t xml:space="preserve">CreateOffer / ApplyOffer</x:t>
        </x:is>
      </x:c>
      <x:c r="D17" s="10" t="inlineStr">
        <x:is>
          <x:t xml:space="preserve">정식 상점 R6 이후 3R 간격, R3 소형 상점, R4~10 회복 상점, 합성 부스터/회복 보급/보스 대비/현장 의무병 생명력 회복</x:t>
        </x:is>
      </x:c>
    </x:row>
    <x:row r="18" ht="15" customHeight="1">
      <x:c r="A18" s="10" t="inlineStr">
        <x:is>
          <x:t xml:space="preserve">전술 타일</x:t>
        </x:is>
      </x:c>
      <x:c r="B18" s="10" t="inlineStr">
        <x:is>
          <x:t xml:space="preserve">Assets/Scripts/DefenseGame/BoardTileModifierSystem.cs</x:t>
        </x:is>
      </x:c>
      <x:c r="C18" s="10" t="inlineStr">
        <x:is>
          <x:t xml:space="preserve">rerollInterval / tile counts / RollTileType</x:t>
        </x:is>
      </x:c>
      <x:c r="D18" s="10" t="inlineStr">
        <x:is>
          <x:t xml:space="preserve">타일 등장 주기, 라운드별 타일 수, 타일 풀</x:t>
        </x:is>
      </x:c>
    </x:row>
    <x:row r="19" ht="15" customHeight="1">
      <x:c r="A19" s="10" t="inlineStr">
        <x:is>
          <x:t xml:space="preserve">타일 보너스</x:t>
        </x:is>
      </x:c>
      <x:c r="B19" s="10" t="inlineStr">
        <x:is>
          <x:t xml:space="preserve">Assets/Scripts/DefenseGame/BoardSlot.cs</x:t>
        </x:is>
      </x:c>
      <x:c r="C19" s="10" t="inlineStr">
        <x:is>
          <x:t xml:space="preserve">ApplyTileBonus</x:t>
        </x:is>
      </x:c>
      <x:c r="D19" s="10" t="inlineStr">
        <x:is>
          <x:t xml:space="preserve">공속, 마나, 수호, 사거리, 스킬, 과부하, 보스 피해 수치</x:t>
        </x:is>
      </x:c>
    </x:row>
    <x:row r="20" ht="15" customHeight="1">
      <x:c r="A20" s="10" t="inlineStr">
        <x:is>
          <x:t xml:space="preserve">유닛 보너스 적용</x:t>
        </x:is>
      </x:c>
      <x:c r="B20" s="10" t="inlineStr">
        <x:is>
          <x:t xml:space="preserve">Assets/Scripts/DefenseGame/DefenderUnit.cs</x:t>
        </x:is>
      </x:c>
      <x:c r="C20" s="10" t="inlineStr">
        <x:is>
          <x:t xml:space="preserve">SetBoardTileBonuses / RefreshTileBonus</x:t>
        </x:is>
      </x:c>
      <x:c r="D20" s="10" t="inlineStr">
        <x:is>
          <x:t xml:space="preserve">타일 보너스와 공격/스킬/피해감소/사거리 연동</x:t>
        </x:is>
      </x:c>
    </x:row>
    <x:row r="22" ht="15" customHeight="1">
      <x:c r="A22" s="10" t="inlineStr">
        <x:is>
          <x:t xml:space="preserve">아웃게임 허브</x:t>
        </x:is>
      </x:c>
      <x:c r="B22" s="10" t="inlineStr">
        <x:is>
          <x:t xml:space="preserve">Assets/Scripts/DefenseGame/MetaFlowUI.cs</x:t>
        </x:is>
      </x:c>
      <x:c r="C22" s="10" t="inlineStr">
        <x:is>
          <x:t xml:space="preserve">BuildLobbyOverlay / BuildOutgameBottomNav</x:t>
        </x:is>
      </x:c>
      <x:c r="D22" s="10" t="inlineStr">
        <x:is>
          <x:t xml:space="preserve">아웃게임 로비, 하단 탭, 상점/인벤/랭킹/얏찌 진입</x:t>
        </x:is>
      </x:c>
    </x:row>
    <x:row r="23" ht="15" customHeight="1">
      <x:c r="A23" s="10" t="inlineStr">
        <x:is>
          <x:t xml:space="preserve">인게임 HUD 표시</x:t>
        </x:is>
      </x:c>
      <x:c r="B23" s="10" t="inlineStr">
        <x:is>
          <x:t xml:space="preserve">Assets/Scripts/DefenseGame/MetaFlowUI.cs</x:t>
        </x:is>
      </x:c>
      <x:c r="C23" s="10" t="inlineStr">
        <x:is>
          <x:t xml:space="preserve">SetGameplayHudVisible</x:t>
        </x:is>
      </x:c>
      <x:c r="D23" s="10" t="inlineStr">
        <x:is>
          <x:t xml:space="preserve">아웃게임에서는 HUD 숨김, 라운드 시작 시 HUD 표시</x:t>
        </x:is>
      </x:c>
    </x:row>
    <x:row r="24" ht="15" customHeight="1">
      <x:c r="A24" s="10" t="inlineStr">
        <x:is>
          <x:t xml:space="preserve">인게임 나가기</x:t>
        </x:is>
      </x:c>
      <x:c r="B24" s="10" t="inlineStr">
        <x:is>
          <x:t xml:space="preserve">Assets/Scripts/DefenseGame/MetaFlowUI.cs</x:t>
        </x:is>
      </x:c>
      <x:c r="C24" s="10" t="inlineStr">
        <x:is>
          <x:t xml:space="preserve">HandleExitToOutgamePressed</x:t>
        </x:is>
      </x:c>
      <x:c r="D24" s="10" t="inlineStr">
        <x:is>
          <x:t xml:space="preserve">나가기 버튼, 결과창 로비 버튼, 허브 복귀 흐름</x:t>
        </x:is>
      </x:c>
    </x:row>
    <x:row r="25" ht="15" customHeight="1">
      <x:c r="A25" s="10" t="inlineStr">
        <x:is>
          <x:t xml:space="preserve">런 상태 초기화</x:t>
        </x:is>
      </x:c>
      <x:c r="B25" s="10" t="inlineStr">
        <x:is>
          <x:t xml:space="preserve">Assets/Scripts/DefenseGame/DefenseGameController.cs</x:t>
        </x:is>
      </x:c>
      <x:c r="C25" s="10" t="inlineStr">
        <x:is>
          <x:t xml:space="preserve">ExitToOutgame</x:t>
        </x:is>
      </x:c>
      <x:c r="D25" s="10" t="inlineStr">
        <x:is>
          <x:t xml:space="preserve">보드/골드/체력/소환비/런 통계 초기화</x:t>
        </x:is>
      </x:c>
    </x:row>
    <x:row r="26" ht="15" customHeight="1">
      <x:c r="A26" s="10" t="inlineStr">
        <x:is>
          <x:t xml:space="preserve">라운드 상태 초기화</x:t>
        </x:is>
      </x:c>
      <x:c r="B26" s="10" t="inlineStr">
        <x:is>
          <x:t xml:space="preserve">Assets/Scripts/DefenseGame/RoundManager.cs</x:t>
        </x:is>
      </x:c>
      <x:c r="C26" s="10" t="inlineStr">
        <x:is>
          <x:t xml:space="preserve">ResetRunState</x:t>
        </x:is>
      </x:c>
      <x:c r="D26" s="10" t="inlineStr">
        <x:is>
          <x:t xml:space="preserve">스폰 코루틴 중지, 몬스터 제거, 라운드 카운터 초기화</x:t>
        </x:is>
      </x:c>
    </x:row>
    <x:row r="27" ht="15" customHeight="1">
      <x:c r="A27" s="10" t="inlineStr">
        <x:is>
          <x:t xml:space="preserve">런타임 버튼 라벨</x:t>
        </x:is>
      </x:c>
      <x:c r="B27" s="10" t="inlineStr">
        <x:is>
          <x:t xml:space="preserve">Assets/Scripts/DefenseGame/RuntimeSceneBootstrap.cs</x:t>
        </x:is>
      </x:c>
      <x:c r="C27" s="10" t="inlineStr">
        <x:is>
          <x:t xml:space="preserve">BuildCanvas</x:t>
        </x:is>
      </x:c>
      <x:c r="D27" s="10" t="inlineStr">
        <x:is>
          <x:t xml:space="preserve">인게임 하단 버튼 로비 -&gt; 나가기 변경</x:t>
        </x:is>
      </x:c>
    </x:row>
    <x:row r="28" ht="15" customHeight="1">
      <x:c r="A28" s="10" t="inlineStr">
        <x:is>
          <x:t xml:space="preserve">향후 성장 테크트리</x:t>
        </x:is>
      </x:c>
      <x:c r="B28" s="10" t="inlineStr">
        <x:is>
          <x:t xml:space="preserve">코드 동기화 완료</x:t>
        </x:is>
      </x:c>
      <x:c r="C28" s="10" t="inlineStr">
        <x:is>
          <x:t xml:space="preserve">Outgame tab candidate</x:t>
        </x:is>
      </x:c>
      <x:c r="D28" s="10" t="inlineStr">
        <x:is>
          <x:t xml:space="preserve">확정되면 아웃게임 하단 탭 또는 서브 화면으로 연결</x:t>
        </x:is>
      </x:c>
    </x:row>
    <x:row r="29">
      <x:c r="A29" s="10" t="inlineStr">
        <x:is>
          <x:t xml:space="preserve">초반 튜닝/실측</x:t>
        </x:is>
      </x:c>
      <x:c r="B29" s="10" t="inlineStr">
        <x:is>
          <x:t xml:space="preserve">docs/GameplayTuningReference.md</x:t>
        </x:is>
      </x:c>
      <x:c r="C29" s="10" t="inlineStr">
        <x:is>
          <x:t xml:space="preserve">Section 18 / 초반튜닝_2026-06-16</x:t>
        </x:is>
      </x:c>
      <x:c r="D29" s="10" t="inlineStr">
        <x:is>
          <x:t xml:space="preserve">R1~R10 2회 실측, 첫 Rare+/첫 합성/R10 보스 HP/생명력 결과 기록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ba362aa074e4d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48" customWidth="1"/>
    <x:col min="3" max="3" width="42" customWidth="1"/>
    <x:col min="4" max="4" width="50" customWidth="1"/>
  </x:cols>
  <x:sheetData>
    <x:row r="1" ht="30" customHeight="1">
      <x:c r="A1" s="1" t="inlineStr">
        <x:is>
          <x:t xml:space="preserve">UI / 사운드 결정</x:t>
        </x:is>
      </x:c>
      <x:c r="B1" s="2" t="n"/>
      <x:c r="C1" s="2" t="n"/>
      <x:c r="D1" s="3" t="n"/>
    </x:row>
    <x:row r="2" ht="22" customHeight="1">
      <x:c r="A2" s="4" t="inlineStr">
        <x:is>
          <x:t xml:space="preserve">레퍼런스 방향과 실제 리소스 이름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결정</x:t>
        </x:is>
      </x:c>
      <x:c r="C4" s="8" t="inlineStr">
        <x:is>
          <x:t xml:space="preserve">리소스/값</x:t>
        </x:is>
      </x:c>
      <x:c r="D4" s="8" t="inlineStr">
        <x:is>
          <x:t xml:space="preserve">메모</x:t>
        </x:is>
      </x:c>
    </x:row>
    <x:row r="5" ht="48" customHeight="1">
      <x:c r="A5" s="9" t="inlineStr">
        <x:is>
          <x:t xml:space="preserve">UI 스타일</x:t>
        </x:is>
      </x:c>
      <x:c r="B5" s="9" t="inlineStr">
        <x:is>
          <x:t xml:space="preserve">롤롤 다이스히어로즈 레퍼런스 기반</x:t>
        </x:is>
      </x:c>
      <x:c r="C5" s="9" t="inlineStr">
        <x:is>
          <x:t xml:space="preserve">docs/rollroll_dice_heroes_ui_reference.md</x:t>
        </x:is>
      </x:c>
      <x:c r="D5" s="9" t="inlineStr">
        <x:is>
          <x:t xml:space="preserve">밝은 3D 보드 + 깊은 네이비 오버레이 + 두꺼운 모바일 버튼</x:t>
        </x:is>
      </x:c>
    </x:row>
    <x:row r="6" ht="48" customHeight="1">
      <x:c r="A6" s="9" t="inlineStr">
        <x:is>
          <x:t xml:space="preserve">등급/체력 표시</x:t>
        </x:is>
      </x:c>
      <x:c r="B6" s="9" t="inlineStr">
        <x:is>
          <x:t xml:space="preserve">작게 숨기지 않고 크게 읽히며 겹치지 않게 배치</x:t>
        </x:is>
      </x:c>
      <x:c r="C6" s="9" t="inlineStr">
        <x:is>
          <x:t xml:space="preserve">인게임 머리 위 UI</x:t>
        </x:is>
      </x:c>
      <x:c r="D6" s="9" t="inlineStr">
        <x:is>
          <x:t xml:space="preserve">나란히 붙어도 가독성 유지</x:t>
        </x:is>
      </x:c>
    </x:row>
    <x:row r="7" ht="48" customHeight="1">
      <x:c r="A7" s="9" t="inlineStr">
        <x:is>
          <x:t xml:space="preserve">도감/상점/대전/결과창</x:t>
        </x:is>
      </x:c>
      <x:c r="B7" s="9" t="inlineStr">
        <x:is>
          <x:t xml:space="preserve">중앙 정렬, 텍스트 여백, 버튼 색 역할 분리</x:t>
        </x:is>
      </x:c>
      <x:c r="C7" s="9" t="inlineStr">
        <x:is>
          <x:t xml:space="preserve">UI Prefab/Scene</x:t>
        </x:is>
      </x:c>
      <x:c r="D7" s="9" t="inlineStr">
        <x:is>
          <x:t xml:space="preserve">레퍼런스처럼 장난감 같은 모바일 감각</x:t>
        </x:is>
      </x:c>
    </x:row>
    <x:row r="8" ht="48" customHeight="1">
      <x:c r="A8" s="9" t="inlineStr">
        <x:is>
          <x:t xml:space="preserve">보스 스킬 피드백</x:t>
        </x:is>
      </x:c>
      <x:c r="B8" s="9" t="inlineStr">
        <x:is>
          <x:t xml:space="preserve">경고 링/배너, 캐스팅 FX, 타격 FX, 상태 표시</x:t>
        </x:is>
      </x:c>
      <x:c r="C8" s="9" t="inlineStr">
        <x:is>
          <x:t xml:space="preserve">MonsterCombatTuningConfig.asset</x:t>
        </x:is>
      </x:c>
      <x:c r="D8" s="9" t="inlineStr">
        <x:is>
          <x:t xml:space="preserve">기절, 마나 -, 처형 같은 상태 텍스트 표시</x:t>
        </x:is>
      </x:c>
    </x:row>
    <x:row r="9" ht="48" customHeight="1">
      <x:c r="A9" s="9" t="inlineStr">
        <x:is>
          <x:t xml:space="preserve">기본 공격 사운드</x:t>
        </x:is>
      </x:c>
      <x:c r="B9" s="9" t="inlineStr">
        <x:is>
          <x:t xml:space="preserve">공격 시 재생</x:t>
        </x:is>
      </x:c>
      <x:c r="C9" s="9" t="inlineStr">
        <x:is>
          <x:t xml:space="preserve">ingame_commondice_attack</x:t>
        </x:is>
      </x:c>
      <x:c r="D9" s="9" t="inlineStr">
        <x:is>
          <x:t xml:space="preserve">기존보다 약 30% 크게</x:t>
        </x:is>
      </x:c>
    </x:row>
    <x:row r="10" ht="48" customHeight="1">
      <x:c r="A10" s="9" t="inlineStr">
        <x:is>
          <x:t xml:space="preserve">피격 사운드</x:t>
        </x:is>
      </x:c>
      <x:c r="B10" s="9" t="inlineStr">
        <x:is>
          <x:t xml:space="preserve">맞을 때 재생</x:t>
        </x:is>
      </x:c>
      <x:c r="C10" s="9" t="inlineStr">
        <x:is>
          <x:t xml:space="preserve">ingame_commondice_hit</x:t>
        </x:is>
      </x:c>
      <x:c r="D10" s="9" t="inlineStr">
        <x:is>
          <x:t xml:space="preserve">기존보다 약 30% 크게</x:t>
        </x:is>
      </x:c>
    </x:row>
    <x:row r="11" ht="48" customHeight="1">
      <x:c r="A11" s="9" t="inlineStr">
        <x:is>
          <x:t xml:space="preserve">전투 시작</x:t>
        </x:is>
      </x:c>
      <x:c r="B11" s="9" t="inlineStr">
        <x:is>
          <x:t xml:space="preserve">인게임 스타트 시 재생</x:t>
        </x:is>
      </x:c>
      <x:c r="C11" s="9" t="inlineStr">
        <x:is>
          <x:t xml:space="preserve">ingame_battle</x:t>
        </x:is>
      </x:c>
      <x:c r="D11" s="9" t="inlineStr">
        <x:is>
          <x:t xml:space="preserve"/>
        </x:is>
      </x:c>
    </x:row>
    <x:row r="12" ht="48" customHeight="1">
      <x:c r="A12" s="9" t="inlineStr">
        <x:is>
          <x:t xml:space="preserve">카운트다운</x:t>
        </x:is>
      </x:c>
      <x:c r="B12" s="9" t="inlineStr">
        <x:is>
          <x:t xml:space="preserve">5,4,3,2,1마다 재생</x:t>
        </x:is>
      </x:c>
      <x:c r="C12" s="9" t="inlineStr">
        <x:is>
          <x:t xml:space="preserve">ingame_countdown</x:t>
        </x:is>
      </x:c>
      <x:c r="D12" s="9" t="inlineStr">
        <x:is>
          <x:t xml:space="preserve"/>
        </x:is>
      </x:c>
    </x:row>
    <x:row r="13" ht="48" customHeight="1">
      <x:c r="A13" s="9" t="inlineStr">
        <x:is>
          <x:t xml:space="preserve">승리 BGM</x:t>
        </x:is>
      </x:c>
      <x:c r="B13" s="9" t="inlineStr">
        <x:is>
          <x:t xml:space="preserve">승리 시점에 더 빠르게 재생</x:t>
        </x:is>
      </x:c>
      <x:c r="C13" s="9" t="inlineStr">
        <x:is>
          <x:t xml:space="preserve">BGM_Ingame_victory</x:t>
        </x:is>
      </x:c>
      <x:c r="D13" s="9" t="inlineStr">
        <x:is>
          <x:t xml:space="preserve">결과창보다 1~1.5초 늦지 않게</x:t>
        </x:is>
      </x:c>
    </x:row>
    <x:row r="14" ht="48" customHeight="1">
      <x:c r="A14" s="9" t="inlineStr">
        <x:is>
          <x:t xml:space="preserve">승리 효과음</x:t>
        </x:is>
      </x:c>
      <x:c r="B14" s="9" t="inlineStr">
        <x:is>
          <x:t xml:space="preserve">게임 승리 시점 추가 효과</x:t>
        </x:is>
      </x:c>
      <x:c r="C14" s="9" t="inlineStr">
        <x:is>
          <x:t xml:space="preserve">mfx_ingame_matching</x:t>
        </x:is>
      </x:c>
      <x:c r="D14" s="9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91bbb8865034c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8" customWidth="1"/>
    <x:col min="2" max="2" width="48" customWidth="1"/>
    <x:col min="3" max="3" width="62" customWidth="1"/>
    <x:col min="4" max="4" width="16" customWidth="1"/>
  </x:cols>
  <x:sheetData>
    <x:row r="1" ht="30" customHeight="1">
      <x:c r="A1" s="1" t="inlineStr">
        <x:is>
          <x:t xml:space="preserve">남은 코드 동기화 완료/확인 필요</x:t>
        </x:is>
      </x:c>
      <x:c r="B1" s="2" t="n"/>
      <x:c r="C1" s="2" t="n"/>
      <x:c r="D1" s="3" t="n"/>
    </x:row>
    <x:row r="2" ht="22" customHeight="1">
      <x:c r="A2" s="4" t="inlineStr">
        <x:is>
          <x:t xml:space="preserve">다음 작업으로 넘겨야 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현재 상태</x:t>
        </x:is>
      </x:c>
      <x:c r="C4" s="8" t="inlineStr">
        <x:is>
          <x:t xml:space="preserve">다음 액션</x:t>
        </x:is>
      </x:c>
      <x:c r="D4" s="8" t="inlineStr">
        <x:is>
          <x:t xml:space="preserve">우선순위</x:t>
        </x:is>
      </x:c>
    </x:row>
    <x:row r="5" ht="46" customHeight="1">
      <x:c r="A5" s="9" t="inlineStr">
        <x:is>
          <x:t xml:space="preserve">hero_20 고유 스킬</x:t>
        </x:is>
      </x:c>
      <x:c r="B5" s="9" t="inlineStr">
        <x:is>
          <x:t xml:space="preserve">코드 동기화 완료</x:t>
        </x:is>
      </x:c>
      <x:c r="C5" s="9" t="inlineStr">
        <x:is>
          <x:t xml:space="preserve">스킬 컨셉/역할 확정 후 CharacterCombatTuningConfig에 추가</x:t>
        </x:is>
      </x:c>
      <x:c r="D5" s="9" t="inlineStr">
        <x:is>
          <x:t xml:space="preserve">높음</x:t>
        </x:is>
      </x:c>
    </x:row>
    <x:row r="6" ht="46" customHeight="1">
      <x:c r="A6" s="9" t="inlineStr">
        <x:is>
          <x:t xml:space="preserve">Mythic/Transcendent 표기</x:t>
        </x:is>
      </x:c>
      <x:c r="B6" s="9" t="inlineStr">
        <x:is>
          <x:t xml:space="preserve">UI 일부에 혼선 가능</x:t>
        </x:is>
      </x:c>
      <x:c r="C6" s="9" t="inlineStr">
        <x:is>
          <x:t xml:space="preserve">신화/초월 한글 표시 체계 최종 정리</x:t>
        </x:is>
      </x:c>
      <x:c r="D6" s="9" t="inlineStr">
        <x:is>
          <x:t xml:space="preserve">중간</x:t>
        </x:is>
      </x:c>
    </x:row>
    <x:row r="7" ht="46" customHeight="1">
      <x:c r="A7" s="9" t="inlineStr">
        <x:is>
          <x:t xml:space="preserve">서비스 시작 5영웅</x:t>
        </x:is>
      </x:c>
      <x:c r="B7" s="9" t="inlineStr">
        <x:is>
          <x:t xml:space="preserve">추천 후보 지정</x:t>
        </x:is>
      </x:c>
      <x:c r="C7" s="9" t="inlineStr">
        <x:is>
          <x:t xml:space="preserve">튜토리얼/초반 덱 구성 플레이 테스트로 검증</x:t>
        </x:is>
      </x:c>
      <x:c r="D7" s="9" t="inlineStr">
        <x:is>
          <x:t xml:space="preserve">높음</x:t>
        </x:is>
      </x:c>
    </x:row>
    <x:row r="8" ht="46" customHeight="1">
      <x:c r="A8" s="9" t="inlineStr">
        <x:is>
          <x:t xml:space="preserve">보스 1~3 실제 난도</x:t>
        </x:is>
      </x:c>
      <x:c r="B8" s="9" t="inlineStr">
        <x:is>
          <x:t xml:space="preserve">R1~R10 실측 2회 완료</x:t>
        </x:is>
      </x:c>
      <x:c r="C8" s="9" t="inlineStr">
        <x:is>
          <x:t xml:space="preserve">회복 상점 빈도와 R10 생명력/보스 HP를 다음 2회 실측으로 재확인</x:t>
        </x:is>
      </x:c>
      <x:c r="D8" s="9" t="inlineStr">
        <x:is>
          <x:t xml:space="preserve">높음</x:t>
        </x:is>
      </x:c>
    </x:row>
    <x:row r="9" ht="46" customHeight="1">
      <x:c r="A9" s="9" t="inlineStr">
        <x:is>
          <x:t xml:space="preserve">문서/코드 한글 인코딩</x:t>
        </x:is>
      </x:c>
      <x:c r="B9" s="9" t="inlineStr">
        <x:is>
          <x:t xml:space="preserve">일부 깨져 보이는 흔적</x:t>
        </x:is>
      </x:c>
      <x:c r="C9" s="9" t="inlineStr">
        <x:is>
          <x:t xml:space="preserve">추후 정리</x:t>
        </x:is>
      </x:c>
      <x:c r="D9" s="9" t="inlineStr">
        <x:is>
          <x:t xml:space="preserve">낮음</x:t>
        </x:is>
      </x:c>
    </x:row>
    <x:row r="10">
      <x:c r="A10" s="9" t="inlineStr">
        <x:is>
          <x:t xml:space="preserve">초반 회복 상점 빈도</x:t>
        </x:is>
      </x:c>
      <x:c r="B10" s="9" t="inlineStr">
        <x:is>
          <x:t xml:space="preserve">기준값 적용 직후</x:t>
        </x:is>
      </x:c>
      <x:c r="C10" s="9" t="inlineStr">
        <x:is>
          <x:t xml:space="preserve">회복 상점이 2회 테스트 모두 뜨면 slowEarlyClearSeconds/highBossHealthWarningRatio 상향</x:t>
        </x:is>
      </x:c>
      <x:c r="D10" s="9" t="inlineStr">
        <x:is>
          <x:t xml:space="preserve">높음</x:t>
        </x:is>
      </x:c>
    </x:row>
    <x:row r="11" ht="32" customHeight="1">
      <x:c r="A11" s="226" t="str">
        <x:v>얏찌 첫 굴림 비용</x:v>
      </x:c>
      <x:c r="B11" s="226" t="str">
        <x:v>첫 굴림 무료 권장</x:v>
      </x:c>
      <x:c r="C11" s="226" t="str">
        <x:v>무료/100G 최종 확정</x:v>
      </x:c>
      <x:c r="D11" s="226" t="str">
        <x:v>높음</x:v>
      </x:c>
    </x:row>
    <x:row r="12" ht="32" customHeight="1">
      <x:c r="A12" s="226" t="str">
        <x:v>얏찌 보상 확률</x:v>
      </x:c>
      <x:c r="B12" s="226" t="str">
        <x:v>골드70%/다이아22%/유닛8% 초안</x:v>
      </x:c>
      <x:c r="C12" s="226" t="str">
        <x:v>경제 시뮬레이션 후 확정</x:v>
      </x:c>
      <x:c r="D12" s="226" t="str">
        <x:v>높음</x:v>
      </x:c>
    </x:row>
    <x:row r="13" ht="32" customHeight="1">
      <x:c r="A13" s="226" t="str">
        <x:v>신화/초월 세부 확률</x:v>
      </x:c>
      <x:c r="B13" s="226" t="str">
        <x:v>얏찌·패키지·패스 채널만 확정</x:v>
      </x:c>
      <x:c r="C13" s="226" t="str">
        <x:v>월간 무과금 기대 획득량 확정</x:v>
      </x:c>
      <x:c r="D13" s="226" t="str">
        <x:v>높음</x:v>
      </x:c>
    </x:row>
    <x:row r="14" ht="32" customHeight="1">
      <x:c r="A14" s="226" t="str">
        <x:v>계정 골드/다이아 보상량</x:v>
      </x:c>
      <x:c r="B14" s="226" t="str">
        <x:v>유형·차등 원칙만 확정</x:v>
      </x:c>
      <x:c r="C14" s="226" t="str">
        <x:v>R1~50 누적 경제표</x:v>
      </x:c>
      <x:c r="D14" s="226" t="str">
        <x:v>높음</x:v>
      </x:c>
    </x:row>
    <x:row r="15" ht="32" customHeight="1">
      <x:c r="A15" s="226" t="str">
        <x:v>얏찌 상자 보관 한도</x:v>
      </x:c>
      <x:c r="B15" s="226" t="str">
        <x:v>누적 보관 가능</x:v>
      </x:c>
      <x:c r="C15" s="226" t="str">
        <x:v>최대치·초과 처리</x:v>
      </x:c>
      <x:c r="D15" s="226" t="str">
        <x:v>중간</x:v>
      </x:c>
    </x:row>
    <x:row r="16" ht="32" customHeight="1">
      <x:c r="A16" s="226" t="str">
        <x:v>신규 유닛 가중치</x:v>
      </x:c>
      <x:c r="B16" s="226" t="str">
        <x:v>40/30/20% 권장</x:v>
      </x:c>
      <x:c r="C16" s="226" t="str">
        <x:v>풀 크기별 분포 검증</x:v>
      </x:c>
      <x:c r="D16" s="226" t="str">
        <x:v>중간</x:v>
      </x:c>
    </x:row>
    <x:row r="17" ht="32" customHeight="1">
      <x:c r="A17" s="226" t="str">
        <x:v>포커스 슬롯</x:v>
      </x:c>
      <x:c r="B17" s="226" t="str">
        <x:v>3기 +50%, 단일80% 권장</x:v>
      </x:c>
      <x:c r="C17" s="226" t="str">
        <x:v>서비스 필요성 판단</x:v>
      </x:c>
      <x:c r="D17" s="226" t="str">
        <x:v>중간</x:v>
      </x:c>
    </x:row>
  </x:sheetData>
  <x:pageMargins left="0.7" right="0.7" top="0.75" bottom="0.75" header="0.3" footer="0.3"/>
  <x:tableParts count="1">
    <x:tablePart xmlns:r="http://schemas.openxmlformats.org/officeDocument/2006/relationships" r:id="R46e67a14ef6d476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34" customWidth="1"/>
    <x:col min="3" max="3" width="24" customWidth="1"/>
    <x:col min="4" max="4" width="48" customWidth="1"/>
    <x:col min="5" max="5" width="40" customWidth="1"/>
    <x:col min="6" max="6" width="40" customWidth="1"/>
    <x:col min="7" max="7" width="28" customWidth="1"/>
    <x:col min="8" max="8" width="34" customWidth="1"/>
  </x:cols>
  <x:sheetData>
    <x:row r="1" ht="30" customHeight="1">
      <x:c r="A1" s="37" t="inlineStr">
        <x:is>
          <x:t xml:space="preserve">런 변동성 컨텐츠 1-6 적용 요약</x:t>
        </x:is>
      </x:c>
    </x:row>
    <x:row r="2" ht="42" customHeight="1">
      <x:c r="A2" s="23" t="inlineStr">
        <x:is>
          <x:t xml:space="preserve">업데이트일</x:t>
        </x:is>
      </x:c>
      <x:c r="B2" s="23" t="inlineStr">
        <x:is>
          <x:t xml:space="preserve">2026-06-16</x:t>
        </x:is>
      </x:c>
      <x:c r="C2" s="23" t="inlineStr">
        <x:is>
          <x:t xml:space="preserve">목표</x:t>
        </x:is>
      </x:c>
      <x:c r="D2" s="23" t="inlineStr">
        <x:is>
          <x:t xml:space="preserve">반복 소환/합성 피로도 완화, R3 합성 부스터와 R4~10 회복 상점까지 반영</x:t>
        </x:is>
      </x:c>
      <x:c r="E2" s="23" t="n"/>
      <x:c r="F2" s="23" t="n"/>
      <x:c r="G2" s="23" t="n"/>
      <x:c r="H2" s="23" t="n"/>
    </x:row>
    <x:row r="3" ht="21" customHeight="1">
      <x:c r="A3" s="136" t="n"/>
      <x:c r="B3" s="136" t="n"/>
      <x:c r="C3" s="136" t="n"/>
      <x:c r="D3" s="136" t="n"/>
      <x:c r="E3" s="136" t="n"/>
      <x:c r="F3" s="136" t="n"/>
      <x:c r="G3" s="136" t="n"/>
      <x:c r="H3" s="136" t="n"/>
    </x:row>
    <x:row r="4" ht="30" customHeight="1">
      <x:c r="A4" s="38" t="inlineStr">
        <x:is>
          <x:t xml:space="preserve">순위</x:t>
        </x:is>
      </x:c>
      <x:c r="B4" s="38" t="inlineStr">
        <x:is>
          <x:t xml:space="preserve">컨텐츠</x:t>
        </x:is>
      </x:c>
      <x:c r="C4" s="38" t="inlineStr">
        <x:is>
          <x:t xml:space="preserve">적용 상태</x:t>
        </x:is>
      </x:c>
      <x:c r="D4" s="38" t="inlineStr">
        <x:is>
          <x:t xml:space="preserve">플레이 변화</x:t>
        </x:is>
      </x:c>
      <x:c r="E4" s="38" t="inlineStr">
        <x:is>
          <x:t xml:space="preserve">주요 보상/효과</x:t>
        </x:is>
      </x:c>
      <x:c r="F4" s="38" t="inlineStr">
        <x:is>
          <x:t xml:space="preserve">튜닝 위치</x:t>
        </x:is>
      </x:c>
      <x:c r="G4" s="38" t="inlineStr">
        <x:is>
          <x:t xml:space="preserve">확인 포인트</x:t>
        </x:is>
      </x:c>
      <x:c r="H4" s="38" t="inlineStr">
        <x:is>
          <x:t xml:space="preserve">비고</x:t>
        </x:is>
      </x:c>
    </x:row>
    <x:row r="5" ht="42" customHeight="1">
      <x:c r="A5" s="23" t="n">
        <x:v>1</x:v>
      </x:c>
      <x:c r="B5" s="23" t="inlineStr">
        <x:is>
          <x:t xml:space="preserve">라운드 미션</x:t>
        </x:is>
      </x:c>
      <x:c r="C5" s="23" t="inlineStr">
        <x:is>
          <x:t xml:space="preserve">완료</x:t>
        </x:is>
      </x:c>
      <x:c r="D5" s="23" t="inlineStr">
        <x:is>
          <x:t xml:space="preserve">참기, 올인, 콤보, 레시피 추적 등으로 플레이 방식 변화</x:t>
        </x:is>
      </x:c>
      <x:c r="E5" s="23" t="inlineStr">
        <x:is>
          <x:t xml:space="preserve">룰렛 골드, 잭팟, 소환비 할인</x:t>
        </x:is>
      </x:c>
      <x:c r="F5" s="23" t="inlineStr">
        <x:is>
          <x:t xml:space="preserve">TacticalMissionSystem.cs</x:t>
        </x:is>
      </x:c>
      <x:c r="G5" s="23" t="inlineStr">
        <x:is>
          <x:t xml:space="preserve">목표가 너무 쉽거나 과한지</x:t>
        </x:is>
      </x:c>
      <x:c r="H5" s="23" t="inlineStr">
        <x:is>
          <x:t xml:space="preserve">단순 처치 미션보다 운영 변화 우선</x:t>
        </x:is>
      </x:c>
    </x:row>
    <x:row r="6" ht="42" customHeight="1">
      <x:c r="A6" s="23" t="n">
        <x:v>2</x:v>
      </x:c>
      <x:c r="B6" s="23" t="inlineStr">
        <x:is>
          <x:t xml:space="preserve">럭키 이벤트/증강체</x:t>
        </x:is>
      </x:c>
      <x:c r="C6" s="23" t="inlineStr">
        <x:is>
          <x:t xml:space="preserve">완료</x:t>
        </x:is>
      </x:c>
      <x:c r="D6" s="23" t="inlineStr">
        <x:is>
          <x:t xml:space="preserve">안전/도박/경제 선택으로 판마다 성장 방향 변화</x:t>
        </x:is>
      </x:c>
      <x:c r="E6" s="23" t="inlineStr">
        <x:is>
          <x:t xml:space="preserve">도파민 버튼, 미니 로또, 희귀 현상금, 보스 복권</x:t>
        </x:is>
      </x:c>
      <x:c r="F6" s="23" t="inlineStr">
        <x:is>
          <x:t xml:space="preserve">AugmentManager.cs</x:t>
        </x:is>
      </x:c>
      <x:c r="G6" s="23" t="inlineStr">
        <x:is>
          <x:t xml:space="preserve">고점 보상이 밸런스를 깨는지</x:t>
        </x:is>
      </x:c>
      <x:c r="H6" s="23" t="inlineStr">
        <x:is>
          <x:t xml:space="preserve">운빨 감각 담당</x:t>
        </x:is>
      </x:c>
    </x:row>
    <x:row r="7" ht="42" customHeight="1">
      <x:c r="A7" s="23" t="n">
        <x:v>3</x:v>
      </x:c>
      <x:c r="B7" s="23" t="inlineStr">
        <x:is>
          <x:t xml:space="preserve">레시피 소환</x:t>
        </x:is>
      </x:c>
      <x:c r="C7" s="23" t="inlineStr">
        <x:is>
          <x:t xml:space="preserve">완료</x:t>
        </x:is>
      </x:c>
      <x:c r="D7" s="23" t="inlineStr">
        <x:is>
          <x:t xml:space="preserve">특정 영웅 조합을 모으는 장기 목표 생성</x:t>
        </x:is>
      </x:c>
      <x:c r="E7" s="23" t="inlineStr">
        <x:is>
          <x:t xml:space="preserve">초월 레시피 5종, 재료 n/m 표시</x:t>
        </x:is>
      </x:c>
      <x:c r="F7" s="23" t="inlineStr">
        <x:is>
          <x:t xml:space="preserve">DefenseBoardManager.cs</x:t>
        </x:is>
      </x:c>
      <x:c r="G7" s="23" t="inlineStr">
        <x:is>
          <x:t xml:space="preserve">재료 노출성과 완성 빈도</x:t>
        </x:is>
      </x:c>
      <x:c r="H7" s="23" t="inlineStr">
        <x:is>
          <x:t xml:space="preserve">hero_01~hero_24 기준</x:t>
        </x:is>
      </x:c>
    </x:row>
    <x:row r="8" ht="42" customHeight="1">
      <x:c r="A8" s="23" t="n">
        <x:v>4</x:v>
      </x:c>
      <x:c r="B8" s="23" t="inlineStr">
        <x:is>
          <x:t xml:space="preserve">보스 패턴</x:t>
        </x:is>
      </x:c>
      <x:c r="C8" s="23" t="inlineStr">
        <x:is>
          <x:t xml:space="preserve">완료</x:t>
        </x:is>
      </x:c>
      <x:c r="D8" s="23" t="inlineStr">
        <x:is>
          <x:t xml:space="preserve">중반부터 덱/배치/성장 대응 필요</x:t>
        </x:is>
      </x:c>
      <x:c r="E8" s="23" t="inlineStr">
        <x:is>
          <x:t xml:space="preserve">기절, 광역, 마나번, 골드징수, 강화, 처형</x:t>
        </x:is>
      </x:c>
      <x:c r="F8" s="23" t="inlineStr">
        <x:is>
          <x:t xml:space="preserve">MonsterDatabase.cs</x:t>
        </x:is>
      </x:c>
      <x:c r="G8" s="23" t="inlineStr">
        <x:is>
          <x:t xml:space="preserve">피드백과 난이도 체감</x:t>
        </x:is>
      </x:c>
      <x:c r="H8" s="23" t="inlineStr">
        <x:is>
          <x:t xml:space="preserve">8개 패턴 로테이션</x:t>
        </x:is>
      </x:c>
    </x:row>
    <x:row r="9" ht="42" customHeight="1">
      <x:c r="A9" s="23" t="n">
        <x:v>5</x:v>
      </x:c>
      <x:c r="B9" s="23" t="inlineStr">
        <x:is>
          <x:t xml:space="preserve">라운드 사이 전투 상점</x:t>
        </x:is>
      </x:c>
      <x:c r="C9" s="23" t="inlineStr">
        <x:is>
          <x:t xml:space="preserve">완료</x:t>
        </x:is>
      </x:c>
      <x:c r="D9" s="23" t="inlineStr">
        <x:is>
          <x:t xml:space="preserve">클리어 후 판 전용 선택지로 운영 전환</x:t>
        </x:is>
      </x:c>
      <x:c r="E9" s="23" t="inlineStr">
        <x:is>
          <x:t xml:space="preserve">유닛 보급, 위험 상자, 타일 리롤, 보스 정보, 쿠폰, 회복</x:t>
        </x:is>
      </x:c>
      <x:c r="F9" s="23" t="inlineStr">
        <x:is>
          <x:t xml:space="preserve">RunShopSystem.cs</x:t>
        </x:is>
      </x:c>
      <x:c r="G9" s="23" t="inlineStr">
        <x:is>
          <x:t xml:space="preserve">가격, 등장 주기, 상품 가치</x:t>
        </x:is>
      </x:c>
      <x:c r="H9" s="23" t="inlineStr">
        <x:is>
          <x:t xml:space="preserve">2R 이후 3R 간격</x:t>
        </x:is>
      </x:c>
    </x:row>
    <x:row r="10" ht="42" customHeight="1">
      <x:c r="A10" s="23" t="n">
        <x:v>6</x:v>
      </x:c>
      <x:c r="B10" s="23" t="inlineStr">
        <x:is>
          <x:t xml:space="preserve">필드/타일 변동</x:t>
        </x:is>
      </x:c>
      <x:c r="C10" s="23" t="inlineStr">
        <x:is>
          <x:t xml:space="preserve">완료</x:t>
        </x:is>
      </x:c>
      <x:c r="D10" s="23" t="inlineStr">
        <x:is>
          <x:t xml:space="preserve">배치 위치 자체에 의미 부여</x:t>
        </x:is>
      </x:c>
      <x:c r="E10" s="23" t="inlineStr">
        <x:is>
          <x:t xml:space="preserve">가속, 마나, 수호, 사거리, 스킬, 과부하, 보스 타일</x:t>
        </x:is>
      </x:c>
      <x:c r="F10" s="23" t="inlineStr">
        <x:is>
          <x:t xml:space="preserve">BoardTileModifierSystem.cs / BoardSlot.cs</x:t>
        </x:is>
      </x:c>
      <x:c r="G10" s="23" t="inlineStr">
        <x:is>
          <x:t xml:space="preserve">타일 색상/가독성, 효과량</x:t>
        </x:is>
      </x:c>
      <x:c r="H10" s="23" t="inlineStr">
        <x:is>
          <x:t xml:space="preserve">초반 2개, 중반 3개, 후반 4개</x:t>
        </x:is>
      </x:c>
    </x:row>
    <x:row r="11" ht="21" customHeight="1">
      <x:c r="A11" s="136" t="n"/>
      <x:c r="B11" s="136" t="n"/>
      <x:c r="C11" s="136" t="n"/>
      <x:c r="D11" s="136" t="n"/>
      <x:c r="E11" s="136" t="n"/>
      <x:c r="F11" s="136" t="n"/>
      <x:c r="G11" s="136" t="n"/>
      <x:c r="H11" s="136" t="n"/>
    </x:row>
    <x:row r="12" ht="30" customHeight="1">
      <x:c r="A12" s="37" t="inlineStr">
        <x:is>
          <x:t xml:space="preserve">전술 타일 효과</x:t>
        </x:is>
      </x:c>
      <x:c r="F12" s="136" t="n"/>
      <x:c r="G12" s="136" t="n"/>
      <x:c r="H12" s="136" t="n"/>
    </x:row>
    <x:row r="13" ht="30" customHeight="1">
      <x:c r="A13" s="38" t="inlineStr">
        <x:is>
          <x:t xml:space="preserve">타일</x:t>
        </x:is>
      </x:c>
      <x:c r="B13" s="38" t="inlineStr">
        <x:is>
          <x:t xml:space="preserve">효과</x:t>
        </x:is>
      </x:c>
      <x:c r="C13" s="38" t="inlineStr">
        <x:is>
          <x:t xml:space="preserve">현재 수치</x:t>
        </x:is>
      </x:c>
      <x:c r="D13" s="38" t="inlineStr">
        <x:is>
          <x:t xml:space="preserve">주 사용 대상</x:t>
        </x:is>
      </x:c>
      <x:c r="E13" s="38" t="inlineStr">
        <x:is>
          <x:t xml:space="preserve">조절 위치</x:t>
        </x:is>
      </x:c>
      <x:c r="F13" s="136" t="n"/>
      <x:c r="G13" s="136" t="n"/>
      <x:c r="H13" s="136" t="n"/>
    </x:row>
    <x:row r="14" ht="30" customHeight="1">
      <x:c r="A14" s="23" t="inlineStr">
        <x:is>
          <x:t xml:space="preserve">가속</x:t>
        </x:is>
      </x:c>
      <x:c r="B14" s="23" t="inlineStr">
        <x:is>
          <x:t xml:space="preserve">공격속도 증가</x:t>
        </x:is>
      </x:c>
      <x:c r="C14" s="23" t="inlineStr">
        <x:is>
          <x:t xml:space="preserve">+22%</x:t>
        </x:is>
      </x:c>
      <x:c r="D14" s="23" t="inlineStr">
        <x:is>
          <x:t xml:space="preserve">주력 딜러</x:t>
        </x:is>
      </x:c>
      <x:c r="E14" s="23" t="inlineStr">
        <x:is>
          <x:t xml:space="preserve">BoardSlot.ApplyTileBonus</x:t>
        </x:is>
      </x:c>
      <x:c r="F14" s="136" t="n"/>
      <x:c r="G14" s="136" t="n"/>
      <x:c r="H14" s="136" t="n"/>
    </x:row>
    <x:row r="15" ht="30" customHeight="1">
      <x:c r="A15" s="23" t="inlineStr">
        <x:is>
          <x:t xml:space="preserve">마나</x:t>
        </x:is>
      </x:c>
      <x:c r="B15" s="23" t="inlineStr">
        <x:is>
          <x:t xml:space="preserve">초당 마나 회복 증가</x:t>
        </x:is>
      </x:c>
      <x:c r="C15" s="23" t="inlineStr">
        <x:is>
          <x:t xml:space="preserve">+3.5%/s</x:t>
        </x:is>
      </x:c>
      <x:c r="D15" s="23" t="inlineStr">
        <x:is>
          <x:t xml:space="preserve">스킬형 유닛</x:t>
        </x:is>
      </x:c>
      <x:c r="E15" s="23" t="inlineStr">
        <x:is>
          <x:t xml:space="preserve">BoardSlot.ApplyTileBonus</x:t>
        </x:is>
      </x:c>
      <x:c r="F15" s="136" t="n"/>
      <x:c r="G15" s="136" t="n"/>
      <x:c r="H15" s="136" t="n"/>
    </x:row>
    <x:row r="16" ht="30" customHeight="1">
      <x:c r="A16" s="23" t="inlineStr">
        <x:is>
          <x:t xml:space="preserve">수호</x:t>
        </x:is>
      </x:c>
      <x:c r="B16" s="23" t="inlineStr">
        <x:is>
          <x:t xml:space="preserve">최대 체력 및 피해감소</x:t>
        </x:is>
      </x:c>
      <x:c r="C16" s="23" t="inlineStr">
        <x:is>
          <x:t xml:space="preserve">체력 +18%, 피해감소 +8%</x:t>
        </x:is>
      </x:c>
      <x:c r="D16" s="23" t="inlineStr">
        <x:is>
          <x:t xml:space="preserve">탱커/도발</x:t>
        </x:is>
      </x:c>
      <x:c r="E16" s="23" t="inlineStr">
        <x:is>
          <x:t xml:space="preserve">BoardSlot.ApplyTileBonus</x:t>
        </x:is>
      </x:c>
      <x:c r="F16" s="136" t="n"/>
      <x:c r="G16" s="136" t="n"/>
      <x:c r="H16" s="136" t="n"/>
    </x:row>
    <x:row r="17" ht="30" customHeight="1">
      <x:c r="A17" s="23" t="inlineStr">
        <x:is>
          <x:t xml:space="preserve">사거리</x:t>
        </x:is>
      </x:c>
      <x:c r="B17" s="23" t="inlineStr">
        <x:is>
          <x:t xml:space="preserve">공격/스킬 사거리 증가</x:t>
        </x:is>
      </x:c>
      <x:c r="C17" s="23" t="inlineStr">
        <x:is>
          <x:t xml:space="preserve">+0.75m</x:t>
        </x:is>
      </x:c>
      <x:c r="D17" s="23" t="inlineStr">
        <x:is>
          <x:t xml:space="preserve">원거리/광역</x:t>
        </x:is>
      </x:c>
      <x:c r="E17" s="23" t="inlineStr">
        <x:is>
          <x:t xml:space="preserve">BoardSlot.ApplyTileBonus</x:t>
        </x:is>
      </x:c>
      <x:c r="F17" s="136" t="n"/>
      <x:c r="G17" s="136" t="n"/>
      <x:c r="H17" s="136" t="n"/>
    </x:row>
    <x:row r="18" ht="30" customHeight="1">
      <x:c r="A18" s="23" t="inlineStr">
        <x:is>
          <x:t xml:space="preserve">스킬</x:t>
        </x:is>
      </x:c>
      <x:c r="B18" s="23" t="inlineStr">
        <x:is>
          <x:t xml:space="preserve">스킬 위력 및 마나 회복</x:t>
        </x:is>
      </x:c>
      <x:c r="C18" s="23" t="inlineStr">
        <x:is>
          <x:t xml:space="preserve">스킬 +20%, 마나 +1.8%/s</x:t>
        </x:is>
      </x:c>
      <x:c r="D18" s="23" t="inlineStr">
        <x:is>
          <x:t xml:space="preserve">스킬 캐리</x:t>
        </x:is>
      </x:c>
      <x:c r="E18" s="23" t="inlineStr">
        <x:is>
          <x:t xml:space="preserve">BoardSlot.ApplyTileBonus</x:t>
        </x:is>
      </x:c>
      <x:c r="F18" s="136" t="n"/>
      <x:c r="G18" s="136" t="n"/>
      <x:c r="H18" s="136" t="n"/>
    </x:row>
    <x:row r="19" ht="30" customHeight="1">
      <x:c r="A19" s="23" t="inlineStr">
        <x:is>
          <x:t xml:space="preserve">과부하</x:t>
        </x:is>
      </x:c>
      <x:c r="B19" s="23" t="inlineStr">
        <x:is>
          <x:t xml:space="preserve">공격력/공속 증가</x:t>
        </x:is>
      </x:c>
      <x:c r="C19" s="23" t="inlineStr">
        <x:is>
          <x:t xml:space="preserve">공격 +20%, 공속 +8%</x:t>
        </x:is>
      </x:c>
      <x:c r="D19" s="23" t="inlineStr">
        <x:is>
          <x:t xml:space="preserve">딜러</x:t>
        </x:is>
      </x:c>
      <x:c r="E19" s="23" t="inlineStr">
        <x:is>
          <x:t xml:space="preserve">BoardSlot.ApplyTileBonus</x:t>
        </x:is>
      </x:c>
      <x:c r="F19" s="136" t="n"/>
      <x:c r="G19" s="136" t="n"/>
      <x:c r="H19" s="136" t="n"/>
    </x:row>
    <x:row r="20" ht="30" customHeight="1">
      <x:c r="A20" s="23" t="inlineStr">
        <x:is>
          <x:t xml:space="preserve">보스</x:t>
        </x:is>
      </x:c>
      <x:c r="B20" s="23" t="inlineStr">
        <x:is>
          <x:t xml:space="preserve">보스 피해 증가</x:t>
        </x:is>
      </x:c>
      <x:c r="C20" s="23" t="inlineStr">
        <x:is>
          <x:t xml:space="preserve">+28%</x:t>
        </x:is>
      </x:c>
      <x:c r="D20" s="23" t="inlineStr">
        <x:is>
          <x:t xml:space="preserve">보스 대응 유닛</x:t>
        </x:is>
      </x:c>
      <x:c r="E20" s="23" t="inlineStr">
        <x:is>
          <x:t xml:space="preserve">BoardSlot.ApplyTileBonus</x:t>
        </x:is>
      </x:c>
      <x:c r="F20" s="136" t="n"/>
      <x:c r="G20" s="136" t="n"/>
      <x:c r="H20" s="136" t="n"/>
    </x:row>
    <x:row r="21" ht="21" customHeight="1">
      <x:c r="A21" s="136" t="n"/>
      <x:c r="B21" s="136" t="n"/>
      <x:c r="C21" s="136" t="n"/>
      <x:c r="D21" s="136" t="n"/>
      <x:c r="E21" s="136" t="n"/>
      <x:c r="F21" s="136" t="n"/>
      <x:c r="G21" s="136" t="n"/>
      <x:c r="H21" s="136" t="n"/>
    </x:row>
    <x:row r="22" ht="30" customHeight="1">
      <x:c r="A22" s="37" t="inlineStr">
        <x:is>
          <x:t xml:space="preserve">전투 상점 상품</x:t>
        </x:is>
      </x:c>
      <x:c r="G22" s="136" t="n"/>
      <x:c r="H22" s="136" t="n"/>
    </x:row>
    <x:row r="23" ht="30" customHeight="1">
      <x:c r="A23" s="38" t="inlineStr">
        <x:is>
          <x:t xml:space="preserve">상품</x:t>
        </x:is>
      </x:c>
      <x:c r="B23" s="38" t="inlineStr">
        <x:is>
          <x:t xml:space="preserve">효과</x:t>
        </x:is>
      </x:c>
      <x:c r="C23" s="38" t="inlineStr">
        <x:is>
          <x:t xml:space="preserve">가격 기준</x:t>
        </x:is>
      </x:c>
      <x:c r="D23" s="38" t="inlineStr">
        <x:is>
          <x:t xml:space="preserve">타이밍</x:t>
        </x:is>
      </x:c>
      <x:c r="E23" s="38" t="inlineStr">
        <x:is>
          <x:t xml:space="preserve">튜닝 위치</x:t>
        </x:is>
      </x:c>
      <x:c r="F23" s="38" t="inlineStr">
        <x:is>
          <x:t xml:space="preserve">확인 포인트</x:t>
        </x:is>
      </x:c>
      <x:c r="G23" s="136" t="n"/>
      <x:c r="H23" s="136" t="n"/>
    </x:row>
    <x:row r="24" ht="42" customHeight="1">
      <x:c r="A24" s="23" t="inlineStr">
        <x:is>
          <x:t xml:space="preserve">긴급 소환권</x:t>
        </x:is>
      </x:c>
      <x:c r="B24" s="23" t="inlineStr">
        <x:is>
          <x:t xml:space="preserve">현재 라운드 확률표 랜덤 유닛 1마리</x:t>
        </x:is>
      </x:c>
      <x:c r="C24" s="23" t="inlineStr">
        <x:is>
          <x:t xml:space="preserve">8G + round/4*2</x:t>
        </x:is>
      </x:c>
      <x:c r="D24" s="23" t="inlineStr">
        <x:is>
          <x:t xml:space="preserve">상점 등장 시</x:t>
        </x:is>
      </x:c>
      <x:c r="E24" s="23" t="inlineStr">
        <x:is>
          <x:t xml:space="preserve">RunShopSystem.CreateOffer</x:t>
        </x:is>
      </x:c>
      <x:c r="F24" s="23" t="inlineStr">
        <x:is>
          <x:t xml:space="preserve">빈 슬롯 필요</x:t>
        </x:is>
      </x:c>
      <x:c r="G24" s="136" t="n"/>
      <x:c r="H24" s="136" t="n"/>
    </x:row>
    <x:row r="25" ht="42" customHeight="1">
      <x:c r="A25" s="23" t="inlineStr">
        <x:is>
          <x:t xml:space="preserve">레어 보급상자</x:t>
        </x:is>
      </x:c>
      <x:c r="B25" s="23" t="inlineStr">
        <x:is>
          <x:t xml:space="preserve">레어 유닛 1마리</x:t>
        </x:is>
      </x:c>
      <x:c r="C25" s="23" t="inlineStr">
        <x:is>
          <x:t xml:space="preserve">18G + round/4*4</x:t>
        </x:is>
      </x:c>
      <x:c r="D25" s="23" t="inlineStr">
        <x:is>
          <x:t xml:space="preserve">초반 허들</x:t>
        </x:is>
      </x:c>
      <x:c r="E25" s="23" t="inlineStr">
        <x:is>
          <x:t xml:space="preserve">RunShopSystem.CreateOffer</x:t>
        </x:is>
      </x:c>
      <x:c r="F25" s="23" t="inlineStr">
        <x:is>
          <x:t xml:space="preserve">보스 1~2 체감</x:t>
        </x:is>
      </x:c>
      <x:c r="G25" s="136" t="n"/>
      <x:c r="H25" s="136" t="n"/>
    </x:row>
    <x:row r="26" ht="42" customHeight="1">
      <x:c r="A26" s="23" t="inlineStr">
        <x:is>
          <x:t xml:space="preserve">위험한 상자</x:t>
        </x:is>
      </x:c>
      <x:c r="B26" s="23" t="inlineStr">
        <x:is>
          <x:t xml:space="preserve">레어 이상 확정, 낮은 확률 전설</x:t>
        </x:is>
      </x:c>
      <x:c r="C26" s="23" t="inlineStr">
        <x:is>
          <x:t xml:space="preserve">24G + round/4*5</x:t>
        </x:is>
      </x:c>
      <x:c r="D26" s="23" t="inlineStr">
        <x:is>
          <x:t xml:space="preserve">도박 선택</x:t>
        </x:is>
      </x:c>
      <x:c r="E26" s="23" t="inlineStr">
        <x:is>
          <x:t xml:space="preserve">RunShopSystem.ApplyOffer</x:t>
        </x:is>
      </x:c>
      <x:c r="F26" s="23" t="inlineStr">
        <x:is>
          <x:t xml:space="preserve">전설 8%, 희귀 이상 32%</x:t>
        </x:is>
      </x:c>
      <x:c r="G26" s="136" t="n"/>
      <x:c r="H26" s="136" t="n"/>
    </x:row>
    <x:row r="27" ht="42" customHeight="1">
      <x:c r="A27" s="23" t="inlineStr">
        <x:is>
          <x:t xml:space="preserve">타일 재배치</x:t>
        </x:is>
      </x:c>
      <x:c r="B27" s="23" t="inlineStr">
        <x:is>
          <x:t xml:space="preserve">전술 타일 즉시 리롤</x:t>
        </x:is>
      </x:c>
      <x:c r="C27" s="23" t="inlineStr">
        <x:is>
          <x:t xml:space="preserve">12G + round/4*3</x:t>
        </x:is>
      </x:c>
      <x:c r="D27" s="23" t="inlineStr">
        <x:is>
          <x:t xml:space="preserve">배치가 꼬였을 때</x:t>
        </x:is>
      </x:c>
      <x:c r="E27" s="23" t="inlineStr">
        <x:is>
          <x:t xml:space="preserve">BoardTileModifierSystem.RerollTiles</x:t>
        </x:is>
      </x:c>
      <x:c r="F27" s="23" t="inlineStr">
        <x:is>
          <x:t xml:space="preserve">효과 피드백</x:t>
        </x:is>
      </x:c>
      <x:c r="G27" s="136" t="n"/>
      <x:c r="H27" s="136" t="n"/>
    </x:row>
    <x:row r="28" ht="42" customHeight="1">
      <x:c r="A28" s="23" t="inlineStr">
        <x:is>
          <x:t xml:space="preserve">보스 정보상</x:t>
        </x:is>
      </x:c>
      <x:c r="B28" s="23" t="inlineStr">
        <x:is>
          <x:t xml:space="preserve">현재 유닛 보스 피해 +12%</x:t>
        </x:is>
      </x:c>
      <x:c r="C28" s="23" t="inlineStr">
        <x:is>
          <x:t xml:space="preserve">16G + round/4*4</x:t>
        </x:is>
      </x:c>
      <x:c r="D28" s="23" t="inlineStr">
        <x:is>
          <x:t xml:space="preserve">보스 전후</x:t>
        </x:is>
      </x:c>
      <x:c r="E28" s="23" t="inlineStr">
        <x:is>
          <x:t xml:space="preserve">DefenderUnit.AddBossDamageBonus</x:t>
        </x:is>
      </x:c>
      <x:c r="F28" s="23" t="inlineStr">
        <x:is>
          <x:t xml:space="preserve">영구 적용 가치</x:t>
        </x:is>
      </x:c>
      <x:c r="G28" s="136" t="n"/>
      <x:c r="H28" s="136" t="n"/>
    </x:row>
    <x:row r="29" ht="42" customHeight="1">
      <x:c r="A29" s="23" t="inlineStr">
        <x:is>
          <x:t xml:space="preserve">소환 쿠폰</x:t>
        </x:is>
      </x:c>
      <x:c r="B29" s="23" t="inlineStr">
        <x:is>
          <x:t xml:space="preserve">이번 판 소환 비용 8% 감소</x:t>
        </x:is>
      </x:c>
      <x:c r="C29" s="23" t="inlineStr">
        <x:is>
          <x:t xml:space="preserve">10G + round/4*2</x:t>
        </x:is>
      </x:c>
      <x:c r="D29" s="23" t="inlineStr">
        <x:is>
          <x:t xml:space="preserve">운영형</x:t>
        </x:is>
      </x:c>
      <x:c r="E29" s="23" t="inlineStr">
        <x:is>
          <x:t xml:space="preserve">DefenseGameController.AddSummonCostDiscount</x:t>
        </x:is>
      </x:c>
      <x:c r="F29" s="23" t="inlineStr">
        <x:is>
          <x:t xml:space="preserve">중복 효율</x:t>
        </x:is>
      </x:c>
      <x:c r="G29" s="136" t="n"/>
      <x:c r="H29" s="136" t="n"/>
    </x:row>
    <x:row r="30" ht="42" customHeight="1">
      <x:c r="A30" s="23" t="inlineStr">
        <x:is>
          <x:t xml:space="preserve">현장 의무병</x:t>
        </x:is>
      </x:c>
      <x:c r="B30" s="23" t="inlineStr">
        <x:is>
          <x:t xml:space="preserve">모든 유닛 최대 체력 25% 회복 + 생명력 1 회복</x:t>
        </x:is>
      </x:c>
      <x:c r="C30" s="23" t="inlineStr">
        <x:is>
          <x:t xml:space="preserve">14G + round/4*3</x:t>
        </x:is>
      </x:c>
      <x:c r="D30" s="23" t="inlineStr">
        <x:is>
          <x:t xml:space="preserve">위기 회복</x:t>
        </x:is>
      </x:c>
      <x:c r="E30" s="23" t="inlineStr">
        <x:is>
          <x:t xml:space="preserve">DefenderUnit.Heal / DefenseGameController.RecoverLife</x:t>
        </x:is>
      </x:c>
      <x:c r="F30" s="23" t="inlineStr">
        <x:is>
          <x:t xml:space="preserve">전투 전후 사용감</x:t>
        </x:is>
      </x:c>
      <x:c r="G30" s="136" t="n"/>
      <x:c r="H30" s="136" t="n"/>
    </x:row>
    <x:row r="31" ht="42" customHeight="1">
      <x:c r="A31" s="23" t="inlineStr">
        <x:is>
          <x:t xml:space="preserve">합성 부스터</x:t>
        </x:is>
      </x:c>
      <x:c r="B31" s="23" t="inlineStr">
        <x:is>
          <x:t xml:space="preserve">보유 중인 가장 유효한 등급의 부족 재료를 보급해 첫 합성선 보정</x:t>
        </x:is>
      </x:c>
      <x:c r="C31" s="23" t="inlineStr">
        <x:is>
          <x:t xml:space="preserve">6G + round/4*2</x:t>
        </x:is>
      </x:c>
      <x:c r="D31" s="23" t="inlineStr">
        <x:is>
          <x:t xml:space="preserve">R3 소형 상점 고정 1개</x:t>
        </x:is>
      </x:c>
      <x:c r="E31" s="23" t="inlineStr">
        <x:is>
          <x:t xml:space="preserve">RunShopSystem / TryGrantMergeAssistUnit</x:t>
        </x:is>
      </x:c>
      <x:c r="F31" s="23" t="inlineStr">
        <x:is>
          <x:t xml:space="preserve">빈 슬롯 부족 시 가능한 만큼만 지급</x:t>
        </x:is>
      </x:c>
      <x:c r="G31" s="136" t="n"/>
      <x:c r="H31" s="136" t="n"/>
    </x:row>
    <x:row r="32" ht="42" customHeight="1">
      <x:c r="A32" s="23" t="inlineStr">
        <x:is>
          <x:t xml:space="preserve">회복 골드</x:t>
        </x:is>
      </x:c>
      <x:c r="B32" s="41" t="n"/>
      <x:c r="C32" s="41" t="n"/>
      <x:c r="D32" s="41" t="n"/>
      <x:c r="E32" s="41" t="n"/>
      <x:c r="F32" s="42" t="n"/>
      <x:c r="G32" s="136" t="n"/>
      <x:c r="H32" s="136" t="n"/>
    </x:row>
    <x:row r="33" ht="42" customHeight="1">
      <x:c r="A33" s="23" t="inlineStr">
        <x:is>
          <x:t xml:space="preserve">구제 레어 지급</x:t>
        </x:is>
      </x:c>
      <x:c r="B33" s="23" t="inlineStr">
        <x:is>
          <x:t xml:space="preserve">레어 유닛 1마리 무료 배치</x:t>
        </x:is>
      </x:c>
      <x:c r="C33" s="23" t="inlineStr">
        <x:is>
          <x:t xml:space="preserve">4G + round/4</x:t>
        </x:is>
      </x:c>
      <x:c r="D33" s="23" t="inlineStr">
        <x:is>
          <x:t xml:space="preserve">회복 상점</x:t>
        </x:is>
      </x:c>
      <x:c r="E33" s="23" t="inlineStr">
        <x:is>
          <x:t xml:space="preserve">RunShopSystem.ApplyOffer</x:t>
        </x:is>
      </x:c>
      <x:c r="F33" s="23" t="inlineStr">
        <x:is>
          <x:t xml:space="preserve">빈 슬롯 필요</x:t>
        </x:is>
      </x:c>
      <x:c r="G33" s="136" t="n"/>
      <x:c r="H33" s="136" t="n"/>
    </x:row>
    <x:row r="34" ht="42" customHeight="1">
      <x:c r="A34" s="23" t="inlineStr">
        <x:is>
          <x:t xml:space="preserve">보스 대비 패키지</x:t>
        </x:is>
      </x:c>
      <x:c r="B34" s="23" t="inlineStr">
        <x:is>
          <x:t xml:space="preserve">현재 유닛 회복 + 보스 피해 +8% + 생명력 2 회복</x:t>
        </x:is>
      </x:c>
      <x:c r="C34" s="23" t="inlineStr">
        <x:is>
          <x:t xml:space="preserve">6G + round/4*2</x:t>
        </x:is>
      </x:c>
      <x:c r="D34" s="23" t="inlineStr">
        <x:is>
          <x:t xml:space="preserve">회복 상점</x:t>
        </x:is>
      </x:c>
      <x:c r="E34" s="23" t="inlineStr">
        <x:is>
          <x:t xml:space="preserve">RunShopSystem.ApplyOffer</x:t>
        </x:is>
      </x:c>
      <x:c r="F34" s="23" t="inlineStr">
        <x:is>
          <x:t xml:space="preserve">R10 보스 압박 완화</x:t>
        </x:is>
      </x:c>
      <x:c r="G34" s="136" t="n"/>
      <x:c r="H34" s="136" t="n"/>
    </x:row>
    <x:row r="35" ht="21" customHeight="1">
      <x:c r="A35" s="136" t="n"/>
      <x:c r="B35" s="136" t="n"/>
      <x:c r="C35" s="136" t="n"/>
      <x:c r="D35" s="136" t="n"/>
      <x:c r="E35" s="136" t="n"/>
      <x:c r="F35" s="136" t="n"/>
      <x:c r="G35" s="136" t="n"/>
      <x:c r="H35" s="136" t="n"/>
    </x:row>
    <x:row r="36" ht="30" customHeight="1">
      <x:c r="A36" s="37" t="inlineStr">
        <x:is>
          <x:t xml:space="preserve">보스 패턴</x:t>
        </x:is>
      </x:c>
      <x:c r="B36" s="136" t="n"/>
      <x:c r="C36" s="136" t="n"/>
      <x:c r="D36" s="136" t="n"/>
      <x:c r="E36" s="136" t="n"/>
      <x:c r="F36" s="136" t="n"/>
      <x:c r="G36" s="136" t="n"/>
      <x:c r="H36" s="136" t="n"/>
    </x:row>
    <x:row r="37" ht="30" customHeight="1">
      <x:c r="A37" s="38" t="inlineStr">
        <x:is>
          <x:t xml:space="preserve">패턴</x:t>
        </x:is>
      </x:c>
      <x:c r="B37" s="38" t="inlineStr">
        <x:is>
          <x:t xml:space="preserve">스킬 1</x:t>
        </x:is>
      </x:c>
      <x:c r="C37" s="38" t="inlineStr">
        <x:is>
          <x:t xml:space="preserve">스킬 2</x:t>
        </x:is>
      </x:c>
      <x:c r="D37" s="38" t="inlineStr">
        <x:is>
          <x:t xml:space="preserve">목표 재미</x:t>
        </x:is>
      </x:c>
      <x:c r="E37" s="38" t="inlineStr">
        <x:is>
          <x:t xml:space="preserve">튜닝 위치</x:t>
        </x:is>
      </x:c>
      <x:c r="F37" s="38" t="inlineStr">
        <x:is>
          <x:t xml:space="preserve">확인 포인트</x:t>
        </x:is>
      </x:c>
      <x:c r="G37" s="136" t="n"/>
      <x:c r="H37" s="136" t="n"/>
    </x:row>
    <x:row r="38" ht="30" customHeight="1">
      <x:c r="A38" s="23" t="inlineStr">
        <x:is>
          <x:t xml:space="preserve">0</x:t>
        </x:is>
      </x:c>
      <x:c r="B38" s="23" t="inlineStr">
        <x:is>
          <x:t xml:space="preserve">대지 균열</x:t>
        </x:is>
      </x:c>
      <x:c r="C38" s="23" t="inlineStr">
        <x:is>
          <x:t xml:space="preserve">파멸의 포효</x:t>
        </x:is>
      </x:c>
      <x:c r="D38" s="23" t="inlineStr">
        <x:is>
          <x:t xml:space="preserve">기절 후 광역 피해</x:t>
        </x:is>
      </x:c>
      <x:c r="E38" s="23" t="inlineStr">
        <x:is>
          <x:t xml:space="preserve">MonsterDatabase.BuildBossSkills</x:t>
        </x:is>
      </x:c>
      <x:c r="F38" s="23" t="inlineStr">
        <x:is>
          <x:t xml:space="preserve">경고/타격 FX</x:t>
        </x:is>
      </x:c>
      <x:c r="G38" s="136" t="n"/>
      <x:c r="H38" s="136" t="n"/>
    </x:row>
    <x:row r="39" ht="30" customHeight="1">
      <x:c r="A39" s="23" t="inlineStr">
        <x:is>
          <x:t xml:space="preserve">1</x:t>
        </x:is>
      </x:c>
      <x:c r="B39" s="23" t="inlineStr">
        <x:is>
          <x:t xml:space="preserve">죽음의 서약</x:t>
        </x:is>
      </x:c>
      <x:c r="C39" s="23" t="inlineStr">
        <x:is>
          <x:t xml:space="preserve">여왕의 속박</x:t>
        </x:is>
      </x:c>
      <x:c r="D39" s="23" t="inlineStr">
        <x:is>
          <x:t xml:space="preserve">처형 압박</x:t>
        </x:is>
      </x:c>
      <x:c r="E39" s="23" t="inlineStr">
        <x:is>
          <x:t xml:space="preserve">MonsterDatabase.BuildBossSkills</x:t>
        </x:is>
      </x:c>
      <x:c r="F39" s="23" t="inlineStr">
        <x:is>
          <x:t xml:space="preserve">너무 불쾌하지 않은지</x:t>
        </x:is>
      </x:c>
      <x:c r="G39" s="136" t="n"/>
      <x:c r="H39" s="136" t="n"/>
    </x:row>
    <x:row r="40" ht="30" customHeight="1">
      <x:c r="A40" s="23" t="inlineStr">
        <x:is>
          <x:t xml:space="preserve">2</x:t>
        </x:is>
      </x:c>
      <x:c r="B40" s="23" t="inlineStr">
        <x:is>
          <x:t xml:space="preserve">심해 장갑</x:t>
        </x:is>
      </x:c>
      <x:c r="C40" s="23" t="inlineStr">
        <x:is>
          <x:t xml:space="preserve">마나 침식</x:t>
        </x:is>
      </x:c>
      <x:c r="D40" s="23" t="inlineStr">
        <x:is>
          <x:t xml:space="preserve">딜 부족/마나 대응</x:t>
        </x:is>
      </x:c>
      <x:c r="E40" s="23" t="inlineStr">
        <x:is>
          <x:t xml:space="preserve">MonsterDatabase.BuildBossSkills</x:t>
        </x:is>
      </x:c>
      <x:c r="F40" s="23" t="inlineStr">
        <x:is>
          <x:t xml:space="preserve">스킬 유닛 무력화 정도</x:t>
        </x:is>
      </x:c>
      <x:c r="G40" s="136" t="n"/>
      <x:c r="H40" s="136" t="n"/>
    </x:row>
    <x:row r="41" ht="30" customHeight="1">
      <x:c r="A41" s="23" t="inlineStr">
        <x:is>
          <x:t xml:space="preserve">3</x:t>
        </x:is>
      </x:c>
      <x:c r="B41" s="23" t="inlineStr">
        <x:is>
          <x:t xml:space="preserve">군단 집결</x:t>
        </x:is>
      </x:c>
      <x:c r="C41" s="23" t="inlineStr">
        <x:is>
          <x:t xml:space="preserve">탐욕의 징수</x:t>
        </x:is>
      </x:c>
      <x:c r="D41" s="23" t="inlineStr">
        <x:is>
          <x:t xml:space="preserve">운영 흔들기</x:t>
        </x:is>
      </x:c>
      <x:c r="E41" s="23" t="inlineStr">
        <x:is>
          <x:t xml:space="preserve">MonsterDatabase.BuildBossSkills</x:t>
        </x:is>
      </x:c>
      <x:c r="F41" s="23" t="inlineStr">
        <x:is>
          <x:t xml:space="preserve">골드 손실 체감</x:t>
        </x:is>
      </x:c>
      <x:c r="G41" s="136" t="n"/>
      <x:c r="H41" s="136" t="n"/>
    </x:row>
    <x:row r="42" ht="30" customHeight="1">
      <x:c r="A42" s="23" t="inlineStr">
        <x:is>
          <x:t xml:space="preserve">4</x:t>
        </x:is>
      </x:c>
      <x:c r="B42" s="23" t="inlineStr">
        <x:is>
          <x:t xml:space="preserve">공허 처형</x:t>
        </x:is>
      </x:c>
      <x:c r="C42" s="23" t="inlineStr">
        <x:is>
          <x:t xml:space="preserve">무한 정지장</x:t>
        </x:is>
      </x:c>
      <x:c r="D42" s="23" t="inlineStr">
        <x:is>
          <x:t xml:space="preserve">강한 중후반 허들</x:t>
        </x:is>
      </x:c>
      <x:c r="E42" s="23" t="inlineStr">
        <x:is>
          <x:t xml:space="preserve">MonsterDatabase.BuildBossSkills</x:t>
        </x:is>
      </x:c>
      <x:c r="F42" s="23" t="inlineStr">
        <x:is>
          <x:t xml:space="preserve">사용 빈도</x:t>
        </x:is>
      </x:c>
      <x:c r="G42" s="136" t="n"/>
      <x:c r="H42" s="136" t="n"/>
    </x:row>
    <x:row r="43" ht="30" customHeight="1">
      <x:c r="A43" s="23" t="inlineStr">
        <x:is>
          <x:t xml:space="preserve">5</x:t>
        </x:is>
      </x:c>
      <x:c r="B43" s="41" t="n"/>
      <x:c r="C43" s="41" t="n"/>
      <x:c r="D43" s="42" t="n"/>
      <x:c r="E43" s="23" t="inlineStr">
        <x:is>
          <x:t xml:space="preserve">MonsterDatabase.BuildBossSkills</x:t>
        </x:is>
      </x:c>
      <x:c r="F43" s="23" t="inlineStr">
        <x:is>
          <x:t xml:space="preserve">마나 회복 가치</x:t>
        </x:is>
      </x:c>
      <x:c r="G43" s="136" t="n"/>
      <x:c r="H43" s="136" t="n"/>
    </x:row>
    <x:row r="44" ht="30" customHeight="1">
      <x:c r="A44" s="23" t="inlineStr">
        <x:is>
          <x:t xml:space="preserve">6</x:t>
        </x:is>
      </x:c>
      <x:c r="B44" s="23" t="inlineStr">
        <x:is>
          <x:t xml:space="preserve">보호막 충전</x:t>
        </x:is>
      </x:c>
      <x:c r="C44" s="23" t="inlineStr">
        <x:is>
          <x:t xml:space="preserve">압력 폭발</x:t>
        </x:is>
      </x:c>
      <x:c r="D44" s="23" t="inlineStr">
        <x:is>
          <x:t xml:space="preserve">버스트 딜 요구</x:t>
        </x:is>
      </x:c>
      <x:c r="E44" s="23" t="inlineStr">
        <x:is>
          <x:t xml:space="preserve">MonsterDatabase.BuildBossSkills</x:t>
        </x:is>
      </x:c>
      <x:c r="F44" s="23" t="inlineStr">
        <x:is>
          <x:t xml:space="preserve">보스 체력 회복량</x:t>
        </x:is>
      </x:c>
      <x:c r="G44" s="136" t="n"/>
      <x:c r="H44" s="136" t="n"/>
    </x:row>
    <x:row r="45" ht="30" customHeight="1">
      <x:c r="A45" s="23" t="inlineStr">
        <x:is>
          <x:t xml:space="preserve">7</x:t>
        </x:is>
      </x:c>
      <x:c r="B45" s="23" t="inlineStr">
        <x:is>
          <x:t xml:space="preserve">앞줄 압박</x:t>
        </x:is>
      </x:c>
      <x:c r="C45" s="23" t="inlineStr">
        <x:is>
          <x:t xml:space="preserve">패배세 징수</x:t>
        </x:is>
      </x:c>
      <x:c r="D45" s="23" t="inlineStr">
        <x:is>
          <x:t xml:space="preserve">탱커/골드 관리 압박</x:t>
        </x:is>
      </x:c>
      <x:c r="E45" s="23" t="inlineStr">
        <x:is>
          <x:t xml:space="preserve">MonsterDatabase.BuildBossSkills</x:t>
        </x:is>
      </x:c>
      <x:c r="F45" s="23" t="inlineStr">
        <x:is>
          <x:t xml:space="preserve">전열 배치 가치</x:t>
        </x:is>
      </x:c>
      <x:c r="G45" s="136" t="n"/>
      <x:c r="H45" s="136" t="n"/>
    </x:row>
    <x:row r="46" ht="21" customHeight="1">
      <x:c r="A46" s="136" t="n"/>
      <x:c r="B46" s="136" t="n"/>
      <x:c r="C46" s="136" t="n"/>
      <x:c r="D46" s="136" t="n"/>
      <x:c r="E46" s="136" t="n"/>
      <x:c r="F46" s="136" t="n"/>
      <x:c r="G46" s="136" t="n"/>
      <x:c r="H46" s="136" t="n"/>
    </x:row>
    <x:row r="47" ht="24" customHeight="1">
      <x:c r="A47" s="31" t="inlineStr">
        <x:is>
          <x:t xml:space="preserve">초월 레시피 / 결과 풀 (2026-06-19)</x:t>
        </x:is>
      </x:c>
      <x:c r="B47" s="136" t="inlineStr">
        <x:is>
          <x:t xml:space="preserve"/>
        </x:is>
      </x:c>
      <x:c r="C47" s="136" t="inlineStr">
        <x:is>
          <x:t xml:space="preserve"/>
        </x:is>
      </x:c>
      <x:c r="D47" s="136" t="inlineStr">
        <x:is>
          <x:t xml:space="preserve"/>
        </x:is>
      </x:c>
      <x:c r="E47" s="136" t="inlineStr">
        <x:is>
          <x:t xml:space="preserve"/>
        </x:is>
      </x:c>
      <x:c r="F47" s="136" t="inlineStr">
        <x:is>
          <x:t xml:space="preserve"/>
        </x:is>
      </x:c>
      <x:c r="G47" s="136" t="inlineStr">
        <x:is>
          <x:t xml:space="preserve"/>
        </x:is>
      </x:c>
      <x:c r="H47" s="136" t="inlineStr">
        <x:is>
          <x:t xml:space="preserve"/>
        </x:is>
      </x:c>
    </x:row>
    <x:row r="48" ht="24" customHeight="1">
      <x:c r="A48" s="27" t="inlineStr">
        <x:is>
          <x:t xml:space="preserve">레시피</x:t>
        </x:is>
      </x:c>
      <x:c r="B48" s="27" t="inlineStr">
        <x:is>
          <x:t xml:space="preserve">필요 재료</x:t>
        </x:is>
      </x:c>
      <x:c r="C48" s="27" t="inlineStr">
        <x:is>
          <x:t xml:space="preserve">결과 풀/성격</x:t>
        </x:is>
      </x:c>
      <x:c r="D48" s="27" t="inlineStr">
        <x:is>
          <x:t xml:space="preserve">조정 위치</x:t>
        </x:is>
      </x:c>
      <x:c r="E48" s="27" t="inlineStr">
        <x:is>
          <x:t xml:space="preserve">운영 메모</x:t>
        </x:is>
      </x:c>
      <x:c r="F48" s="136" t="inlineStr">
        <x:is>
          <x:t xml:space="preserve"/>
        </x:is>
      </x:c>
      <x:c r="G48" s="136" t="inlineStr">
        <x:is>
          <x:t xml:space="preserve"/>
        </x:is>
      </x:c>
      <x:c r="H48" s="136" t="inlineStr">
        <x:is>
          <x:t xml:space="preserve"/>
        </x:is>
      </x:c>
    </x:row>
    <x:row r="49" ht="36" customHeight="1">
      <x:c r="A49" s="23" t="inlineStr">
        <x:is>
          <x:t xml:space="preserve">Fever Engine Rite</x:t>
        </x:is>
      </x:c>
      <x:c r="B49" s="23" t="inlineStr">
        <x:is>
          <x:t xml:space="preserve">hero_31 + hero_13 + hero_10</x:t>
        </x:is>
      </x:c>
      <x:c r="C49" s="23" t="inlineStr">
        <x:is>
          <x:t xml:space="preserve">hero_51/hero_53: 전투체 기반 가속/공속 루트</x:t>
        </x:is>
      </x:c>
      <x:c r="D49" s="23" t="inlineStr">
        <x:is>
          <x:t xml:space="preserve">DefenseBoardManager.UltimateRecipes</x:t>
        </x:is>
      </x:c>
      <x:c r="E49" s="23" t="inlineStr">
        <x:is>
          <x:t xml:space="preserve">특정 신화 필요</x:t>
        </x:is>
      </x:c>
      <x:c r="F49" s="136" t="inlineStr">
        <x:is>
          <x:t xml:space="preserve"/>
        </x:is>
      </x:c>
      <x:c r="G49" s="136" t="inlineStr">
        <x:is>
          <x:t xml:space="preserve"/>
        </x:is>
      </x:c>
      <x:c r="H49" s="136" t="inlineStr">
        <x:is>
          <x:t xml:space="preserve"/>
        </x:is>
      </x:c>
    </x:row>
    <x:row r="50" ht="36" customHeight="1">
      <x:c r="A50" s="23" t="inlineStr">
        <x:is>
          <x:t xml:space="preserve">Volcanic Core Rite</x:t>
        </x:is>
      </x:c>
      <x:c r="B50" s="23" t="inlineStr">
        <x:is>
          <x:t xml:space="preserve">hero_32 + hero_01 + hero_09</x:t>
        </x:is>
      </x:c>
      <x:c r="C50" s="23" t="inlineStr">
        <x:is>
          <x:t xml:space="preserve">hero_52: 야수체 기반 광역/전방 루트</x:t>
        </x:is>
      </x:c>
      <x:c r="D50" s="23" t="inlineStr">
        <x:is>
          <x:t xml:space="preserve">DefenseBoardManager.UltimateRecipes</x:t>
        </x:is>
      </x:c>
      <x:c r="E50" s="23" t="inlineStr">
        <x:is>
          <x:t xml:space="preserve">hero_32 키 재료 분산</x:t>
        </x:is>
      </x:c>
      <x:c r="F50" s="136" t="inlineStr">
        <x:is>
          <x:t xml:space="preserve"/>
        </x:is>
      </x:c>
      <x:c r="G50" s="136" t="inlineStr">
        <x:is>
          <x:t xml:space="preserve"/>
        </x:is>
      </x:c>
      <x:c r="H50" s="136" t="inlineStr">
        <x:is>
          <x:t xml:space="preserve"/>
        </x:is>
      </x:c>
    </x:row>
    <x:row r="51" ht="42" customHeight="1">
      <x:c r="A51" s="23" t="inlineStr">
        <x:is>
          <x:t xml:space="preserve">Soul Battery Rite</x:t>
        </x:is>
      </x:c>
      <x:c r="B51" s="23" t="inlineStr">
        <x:is>
          <x:t xml:space="preserve">hero_11 + hero_13 + hero_02 + hero_05 + hero_14</x:t>
        </x:is>
      </x:c>
      <x:c r="C51" s="23" t="inlineStr">
        <x:is>
          <x:t xml:space="preserve">hero_54: 무신화 고난도 보급형/방어형</x:t>
        </x:is>
      </x:c>
      <x:c r="D51" s="23" t="inlineStr">
        <x:is>
          <x:t xml:space="preserve">DefenseBoardManager.UltimateRecipes</x:t>
        </x:is>
      </x:c>
      <x:c r="E51" s="23" t="inlineStr">
        <x:is>
          <x:t xml:space="preserve">신화 없이 가능하지만 5재료</x:t>
        </x:is>
      </x:c>
      <x:c r="F51" s="136" t="inlineStr">
        <x:is>
          <x:t xml:space="preserve"/>
        </x:is>
      </x:c>
      <x:c r="G51" s="136" t="inlineStr">
        <x:is>
          <x:t xml:space="preserve"/>
        </x:is>
      </x:c>
      <x:c r="H51" s="136" t="inlineStr">
        <x:is>
          <x:t xml:space="preserve"/>
        </x:is>
      </x:c>
    </x:row>
    <x:row r="52" ht="36" customHeight="1">
      <x:c r="A52" s="23" t="inlineStr">
        <x:is>
          <x:t xml:space="preserve">Venom Bulwark Rite</x:t>
        </x:is>
      </x:c>
      <x:c r="B52" s="23" t="inlineStr">
        <x:is>
          <x:t xml:space="preserve">hero_33 + hero_04 + hero_22</x:t>
        </x:is>
      </x:c>
      <x:c r="C52" s="23" t="inlineStr">
        <x:is>
          <x:t xml:space="preserve">hero_52/hero_54: 독/쏜즈 방어 루트</x:t>
        </x:is>
      </x:c>
      <x:c r="D52" s="23" t="inlineStr">
        <x:is>
          <x:t xml:space="preserve">DefenseBoardManager.UltimateRecipes</x:t>
        </x:is>
      </x:c>
      <x:c r="E52" s="23" t="inlineStr">
        <x:is>
          <x:t xml:space="preserve">hero_33 키 재료</x:t>
        </x:is>
      </x:c>
      <x:c r="F52" s="136" t="inlineStr">
        <x:is>
          <x:t xml:space="preserve"/>
        </x:is>
      </x:c>
      <x:c r="G52" s="136" t="inlineStr">
        <x:is>
          <x:t xml:space="preserve"/>
        </x:is>
      </x:c>
      <x:c r="H52" s="136" t="inlineStr">
        <x:is>
          <x:t xml:space="preserve"/>
        </x:is>
      </x:c>
    </x:row>
    <x:row r="53" ht="36" customHeight="1">
      <x:c r="A53" s="23" t="inlineStr">
        <x:is>
          <x:t xml:space="preserve">Thunder Control Rite</x:t>
        </x:is>
      </x:c>
      <x:c r="B53" s="23" t="inlineStr">
        <x:is>
          <x:t xml:space="preserve">hero_31 + hero_07 + hero_08</x:t>
        </x:is>
      </x:c>
      <x:c r="C53" s="23" t="inlineStr">
        <x:is>
          <x:t xml:space="preserve">hero_51: 제어/보스 대응 루트</x:t>
        </x:is>
      </x:c>
      <x:c r="D53" s="23" t="inlineStr">
        <x:is>
          <x:t xml:space="preserve">DefenseBoardManager.UltimateRecipes</x:t>
        </x:is>
      </x:c>
      <x:c r="E53" s="23" t="inlineStr">
        <x:is>
          <x:t xml:space="preserve">hero_31 키 재료</x:t>
        </x:is>
      </x:c>
      <x:c r="F53" s="136" t="inlineStr">
        <x:is>
          <x:t xml:space="preserve"/>
        </x:is>
      </x:c>
      <x:c r="G53" s="136" t="inlineStr">
        <x:is>
          <x:t xml:space="preserve"/>
        </x:is>
      </x:c>
      <x:c r="H53" s="136" t="inlineStr">
        <x:is>
          <x:t xml:space="preserve"/>
        </x:is>
      </x:c>
    </x:row>
    <x:row r="54" ht="21" customHeight="1"/>
    <x:row r="55" ht="24" customHeight="1">
      <x:c r="A55" s="31" t="inlineStr">
        <x:is>
          <x:t xml:space="preserve">런 중 상점 등장 변동성 (2026-06-19)</x:t>
        </x:is>
      </x:c>
      <x:c r="B55" s="136" t="inlineStr">
        <x:is>
          <x:t xml:space="preserve"/>
        </x:is>
      </x:c>
      <x:c r="C55" s="136" t="inlineStr">
        <x:is>
          <x:t xml:space="preserve"/>
        </x:is>
      </x:c>
      <x:c r="D55" s="136" t="inlineStr">
        <x:is>
          <x:t xml:space="preserve"/>
        </x:is>
      </x:c>
      <x:c r="E55" s="136" t="inlineStr">
        <x:is>
          <x:t xml:space="preserve"/>
        </x:is>
      </x:c>
      <x:c r="F55" s="136" t="inlineStr">
        <x:is>
          <x:t xml:space="preserve"/>
        </x:is>
      </x:c>
      <x:c r="G55" s="136" t="inlineStr">
        <x:is>
          <x:t xml:space="preserve"/>
        </x:is>
      </x:c>
      <x:c r="H55" s="136" t="inlineStr">
        <x:is>
          <x:t xml:space="preserve"/>
        </x:is>
      </x:c>
    </x:row>
    <x:row r="56" ht="24" customHeight="1">
      <x:c r="A56" s="27" t="inlineStr">
        <x:is>
          <x:t xml:space="preserve">이벤트</x:t>
        </x:is>
      </x:c>
      <x:c r="B56" s="27" t="inlineStr">
        <x:is>
          <x:t xml:space="preserve">등장 기준</x:t>
        </x:is>
      </x:c>
      <x:c r="C56" s="27" t="inlineStr">
        <x:is>
          <x:t xml:space="preserve">보정/천장</x:t>
        </x:is>
      </x:c>
      <x:c r="D56" s="27" t="inlineStr">
        <x:is>
          <x:t xml:space="preserve">조정 위치</x:t>
        </x:is>
      </x:c>
      <x:c r="E56" s="27" t="inlineStr">
        <x:is>
          <x:t xml:space="preserve">운영 메모</x:t>
        </x:is>
      </x:c>
      <x:c r="F56" s="136" t="inlineStr">
        <x:is>
          <x:t xml:space="preserve"/>
        </x:is>
      </x:c>
      <x:c r="G56" s="136" t="inlineStr">
        <x:is>
          <x:t xml:space="preserve"/>
        </x:is>
      </x:c>
      <x:c r="H56" s="136" t="inlineStr">
        <x:is>
          <x:t xml:space="preserve"/>
        </x:is>
      </x:c>
    </x:row>
    <x:row r="57" ht="36" customHeight="1">
      <x:c r="A57" s="23" t="inlineStr">
        <x:is>
          <x:t xml:space="preserve">소형상점</x:t>
        </x:is>
      </x:c>
      <x:c r="B57" s="23" t="inlineStr">
        <x:is>
          <x:t xml:space="preserve">R3 이후 70%</x:t>
        </x:is>
      </x:c>
      <x:c r="C57" s="23" t="inlineStr">
        <x:is>
          <x:t xml:space="preserve">미등장 +20%, 1회 미스 후 사실상 보장</x:t>
        </x:is>
      </x:c>
      <x:c r="D57" s="23" t="inlineStr">
        <x:is>
          <x:t xml:space="preserve">RunShopSystem</x:t>
        </x:is>
      </x:c>
      <x:c r="E57" s="23" t="inlineStr">
        <x:is>
          <x:t xml:space="preserve">초반 합성 루트가 뜨면 운 좋은 판으로 체감</x:t>
        </x:is>
      </x:c>
      <x:c r="F57" s="136" t="inlineStr">
        <x:is>
          <x:t xml:space="preserve"/>
        </x:is>
      </x:c>
      <x:c r="G57" s="136" t="inlineStr">
        <x:is>
          <x:t xml:space="preserve"/>
        </x:is>
      </x:c>
      <x:c r="H57" s="136" t="inlineStr">
        <x:is>
          <x:t xml:space="preserve"/>
        </x:is>
      </x:c>
    </x:row>
    <x:row r="58" ht="36" customHeight="1">
      <x:c r="A58" s="23" t="inlineStr">
        <x:is>
          <x:t xml:space="preserve">회복상점</x:t>
        </x:is>
      </x:c>
      <x:c r="B58" s="23" t="inlineStr">
        <x:is>
          <x:t xml:space="preserve">회복 필요 시 65%</x:t>
        </x:is>
      </x:c>
      <x:c r="C58" s="23" t="inlineStr">
        <x:is>
          <x:t xml:space="preserve">미등장 +20%, R4~R10 안에서 보정</x:t>
        </x:is>
      </x:c>
      <x:c r="D58" s="23" t="inlineStr">
        <x:is>
          <x:t xml:space="preserve">RunShopSystem</x:t>
        </x:is>
      </x:c>
      <x:c r="E58" s="23" t="inlineStr">
        <x:is>
          <x:t xml:space="preserve">위기 회복은 사건으로 주되 억울함 방지</x:t>
        </x:is>
      </x:c>
      <x:c r="F58" s="136" t="inlineStr">
        <x:is>
          <x:t xml:space="preserve"/>
        </x:is>
      </x:c>
      <x:c r="G58" s="136" t="inlineStr">
        <x:is>
          <x:t xml:space="preserve"/>
        </x:is>
      </x:c>
      <x:c r="H58" s="136" t="inlineStr">
        <x:is>
          <x:t xml:space="preserve"/>
        </x:is>
      </x:c>
    </x:row>
    <x:row r="59" ht="36" customHeight="1">
      <x:c r="A59" s="23" t="inlineStr">
        <x:is>
          <x:t xml:space="preserve">정규상점</x:t>
        </x:is>
      </x:c>
      <x:c r="B59" s="23" t="inlineStr">
        <x:is>
          <x:t xml:space="preserve">R6 이후 3라운드 간격 후보마다 55%</x:t>
        </x:is>
      </x:c>
      <x:c r="C59" s="23" t="inlineStr">
        <x:is>
          <x:t xml:space="preserve">미등장 +20%, 2회 미등장 후 보장</x:t>
        </x:is>
      </x:c>
      <x:c r="D59" s="23" t="inlineStr">
        <x:is>
          <x:t xml:space="preserve">RunShopSystem</x:t>
        </x:is>
      </x:c>
      <x:c r="E59" s="23" t="inlineStr">
        <x:is>
          <x:t xml:space="preserve">이번 판 상점 운이 좋다는 변동성 부여</x:t>
        </x:is>
      </x:c>
      <x:c r="F59" s="136" t="inlineStr">
        <x:is>
          <x:t xml:space="preserve"/>
        </x:is>
      </x:c>
      <x:c r="G59" s="136" t="inlineStr">
        <x:is>
          <x:t xml:space="preserve"/>
        </x:is>
      </x:c>
      <x:c r="H59" s="136" t="inlineStr">
        <x:is>
          <x:t xml:space="preserve"/>
        </x:is>
      </x:c>
    </x:row>
    <x:row r="60" ht="36" customHeight="1">
      <x:c r="A60" s="23" t="inlineStr">
        <x:is>
          <x:t xml:space="preserve">증강체</x:t>
        </x:is>
      </x:c>
      <x:c r="B60" s="23" t="inlineStr">
        <x:is>
          <x:t xml:space="preserve">기존 스케줄 유지</x:t>
        </x:is>
      </x:c>
      <x:c r="C60" s="23" t="inlineStr">
        <x:is>
          <x:t xml:space="preserve">상점과 달리 핵심 선택 축으로 안정 제공</x:t>
        </x:is>
      </x:c>
      <x:c r="D60" s="23" t="inlineStr">
        <x:is>
          <x:t xml:space="preserve">AugmentManager</x:t>
        </x:is>
      </x:c>
      <x:c r="E60" s="23" t="inlineStr">
        <x:is>
          <x:t xml:space="preserve">운 이벤트가 아니라 빌드 선택의 중심</x:t>
        </x:is>
      </x:c>
      <x:c r="F60" s="136" t="inlineStr">
        <x:is>
          <x:t xml:space="preserve"/>
        </x:is>
      </x:c>
      <x:c r="G60" s="136" t="inlineStr">
        <x:is>
          <x:t xml:space="preserve"/>
        </x:is>
      </x:c>
      <x:c r="H60" s="136" t="inlineStr">
        <x:is>
          <x:t xml:space="preserve"/>
        </x:is>
      </x:c>
    </x:row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2:E12"/>
    <x:mergeCell ref="A32:F32"/>
    <x:mergeCell ref="A22:F22"/>
    <x:mergeCell ref="A43:D43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.75" customWidth="1"/>
    <x:col min="2" max="2" width="28.75" customWidth="1"/>
    <x:col min="3" max="3" width="41.25" customWidth="1"/>
    <x:col min="4" max="4" width="36.25" customWidth="1"/>
    <x:col min="5" max="5" width="21.25" customWidth="1"/>
    <x:col min="6" max="6" width="31.25" customWidth="1"/>
    <x:col min="7" max="7" width="20" customWidth="1"/>
    <x:col min="8" max="8" width="20" customWidth="1"/>
  </x:cols>
  <x:sheetData>
    <x:row r="1" ht="31.5" customHeight="1">
      <x:c r="A1" s="12" t="inlineStr">
        <x:is>
          <x:t xml:space="preserve">아웃게임 / 인게임 분리 설계 및 적용 내역</x:t>
        </x:is>
      </x:c>
    </x:row>
    <x:row r="2" ht="22.5" customHeight="1">
      <x:c r="A2" s="10" t="inlineStr">
        <x:is>
          <x:t xml:space="preserve">업데이트일</x:t>
        </x:is>
      </x:c>
      <x:c r="B2" s="10" t="inlineStr">
        <x:is>
          <x:t xml:space="preserve">2026-06-06</x:t>
        </x:is>
      </x:c>
      <x:c r="C2" s="10" t="inlineStr">
        <x:is>
          <x:t xml:space="preserve">핵심 결정</x:t>
        </x:is>
      </x:c>
      <x:c r="D2" s="10" t="inlineStr">
        <x:is>
          <x:t xml:space="preserve">상점/인벤/성장/랭킹은 아웃게임 허브에 두고, 인게임은 전투 조작과 라운드 진행에 집중</x:t>
        </x:is>
      </x:c>
      <x:c r="E2" s="10" t="n"/>
      <x:c r="F2" s="10" t="n"/>
      <x:c r="G2" s="10" t="n"/>
      <x:c r="H2" s="10" t="n"/>
    </x:row>
    <x:row r="3" ht="22.5" customHeight="1"/>
    <x:row r="4" ht="25.5" customHeight="1">
      <x:c r="A4" s="13" t="inlineStr">
        <x:is>
          <x:t xml:space="preserve">구분</x:t>
        </x:is>
      </x:c>
      <x:c r="B4" s="13" t="inlineStr">
        <x:is>
          <x:t xml:space="preserve">현재 적용</x:t>
        </x:is>
      </x:c>
      <x:c r="C4" s="13" t="inlineStr">
        <x:is>
          <x:t xml:space="preserve">사용자 흐름</x:t>
        </x:is>
      </x:c>
      <x:c r="D4" s="13" t="inlineStr">
        <x:is>
          <x:t xml:space="preserve">구현 위치</x:t>
        </x:is>
      </x:c>
      <x:c r="E4" s="13" t="inlineStr">
        <x:is>
          <x:t xml:space="preserve">확정/코드 동기화 완료</x:t>
        </x:is>
      </x:c>
      <x:c r="F4" s="13" t="inlineStr">
        <x:is>
          <x:t xml:space="preserve">메모</x:t>
        </x:is>
      </x:c>
    </x:row>
    <x:row r="5" ht="22.5" customHeight="1">
      <x:c r="A5" s="10" t="inlineStr">
        <x:is>
          <x:t xml:space="preserve">아웃게임 허브</x:t>
        </x:is>
      </x:c>
      <x:c r="B5" s="10" t="inlineStr">
        <x:is>
          <x:t xml:space="preserve">로비 오버레이가 아웃게임 메인 화면 역할</x:t>
        </x:is>
      </x:c>
      <x:c r="C5" s="10" t="inlineStr">
        <x:is>
          <x:t xml:space="preserve">게임 시작 시 아웃게임 허브 표시</x:t>
        </x:is>
      </x:c>
      <x:c r="D5" s="10" t="inlineStr">
        <x:is>
          <x:t xml:space="preserve">MetaFlowUI.ShowLobby</x:t>
        </x:is>
      </x:c>
      <x:c r="E5" s="10" t="inlineStr">
        <x:is>
          <x:t xml:space="preserve">확정</x:t>
        </x:is>
      </x:c>
      <x:c r="F5" s="10" t="inlineStr">
        <x:is>
          <x:t xml:space="preserve">인게임 HUD 숨김</x:t>
        </x:is>
      </x:c>
    </x:row>
    <x:row r="6" ht="22.5" customHeight="1">
      <x:c r="A6" s="10" t="inlineStr">
        <x:is>
          <x:t xml:space="preserve">하단 탭</x:t>
        </x:is>
      </x:c>
      <x:c r="B6" s="10" t="inlineStr">
        <x:is>
          <x:t xml:space="preserve">상점 / 인벤 / 로비 / 얏찌 / 랭킹</x:t>
        </x:is>
      </x:c>
      <x:c r="C6" s="10" t="inlineStr">
        <x:is>
          <x:t xml:space="preserve">하단 탭으로 기능 이동</x:t>
        </x:is>
      </x:c>
      <x:c r="D6" s="10" t="inlineStr">
        <x:is>
          <x:t xml:space="preserve">MetaFlowUI.BuildOutgameBottomNav</x:t>
        </x:is>
      </x:c>
      <x:c r="E6" s="10" t="inlineStr">
        <x:is>
          <x:t xml:space="preserve">1차 확정</x:t>
        </x:is>
      </x:c>
      <x:c r="F6" s="10" t="inlineStr">
        <x:is>
          <x:t xml:space="preserve">롤롤 레퍼런스 구조 반영</x:t>
        </x:is>
      </x:c>
    </x:row>
    <x:row r="7" ht="22.5" customHeight="1">
      <x:c r="A7" s="10" t="inlineStr">
        <x:is>
          <x:t xml:space="preserve">상점</x:t>
        </x:is>
      </x:c>
      <x:c r="B7" s="10" t="inlineStr">
        <x:is>
          <x:t xml:space="preserve">카드 상자 뽑기 화면</x:t>
        </x:is>
      </x:c>
      <x:c r="C7" s="10" t="inlineStr">
        <x:is>
          <x:t xml:space="preserve">상점 탭 또는 로비 상점 버튼으로 진입</x:t>
        </x:is>
      </x:c>
      <x:c r="D7" s="10" t="inlineStr">
        <x:is>
          <x:t xml:space="preserve">MetaFlowUI.BuildShopScene / BuildShopOverlay</x:t>
        </x:is>
      </x:c>
      <x:c r="E7" s="10" t="inlineStr">
        <x:is>
          <x:t xml:space="preserve">확정</x:t>
        </x:is>
      </x:c>
      <x:c r="F7" s="10" t="inlineStr">
        <x:is>
          <x:t xml:space="preserve">별도 OutgameShop 씬 생성</x:t>
        </x:is>
      </x:c>
    </x:row>
    <x:row r="8" ht="22.5" customHeight="1">
      <x:c r="A8" s="10" t="inlineStr">
        <x:is>
          <x:t xml:space="preserve">인벤</x:t>
        </x:is>
      </x:c>
      <x:c r="B8" s="10" t="inlineStr">
        <x:is>
          <x:t xml:space="preserve">캐릭터 컬렉션/도감 화면</x:t>
        </x:is>
      </x:c>
      <x:c r="C8" s="10" t="inlineStr">
        <x:is>
          <x:t xml:space="preserve">인벤 탭으로 진입</x:t>
        </x:is>
      </x:c>
      <x:c r="D8" s="10" t="inlineStr">
        <x:is>
          <x:t xml:space="preserve">CharacterCollectionUI.Toggle</x:t>
        </x:is>
      </x:c>
      <x:c r="E8" s="10" t="inlineStr">
        <x:is>
          <x:t xml:space="preserve">확정</x:t>
        </x:is>
      </x:c>
      <x:c r="F8" s="10" t="inlineStr">
        <x:is>
          <x:t xml:space="preserve">명칭은 추후 인벤/도감 중 선택 가능</x:t>
        </x:is>
      </x:c>
    </x:row>
    <x:row r="9" ht="22.5" customHeight="1">
      <x:c r="A9" s="10" t="inlineStr">
        <x:is>
          <x:t xml:space="preserve">로비</x:t>
        </x:is>
      </x:c>
      <x:c r="B9" s="10" t="inlineStr">
        <x:is>
          <x:t xml:space="preserve">프리셋, 추천 유닛, 대전 시작</x:t>
        </x:is>
      </x:c>
      <x:c r="C9" s="10" t="inlineStr">
        <x:is>
          <x:t xml:space="preserve">로비 탭 중앙 고정</x:t>
        </x:is>
      </x:c>
      <x:c r="D9" s="10" t="inlineStr">
        <x:is>
          <x:t xml:space="preserve">MetaFlowUI.BuildLobbyOverlay</x:t>
        </x:is>
      </x:c>
      <x:c r="E9" s="10" t="inlineStr">
        <x:is>
          <x:t xml:space="preserve">확정</x:t>
        </x:is>
      </x:c>
      <x:c r="F9" s="10" t="inlineStr">
        <x:is>
          <x:t xml:space="preserve">대전 누르면 매칭 후 라운드 시작</x:t>
        </x:is>
      </x:c>
    </x:row>
    <x:row r="10" ht="22.5" customHeight="1">
      <x:c r="A10" s="236" t="inlineStr">
        <x:is>
          <x:t xml:space="preserve">얏찌</x:t>
        </x:is>
      </x:c>
      <x:c r="B10" s="236" t="str">
        <x:v>제작 명세 확정·런타임 미구현</x:v>
      </x:c>
      <x:c r="C10" s="236" t="str">
        <x:v>티켓→3주사위 재굴림/홀드→배수 상자→1/10/전부 개봉</x:v>
      </x:c>
      <x:c r="D10" s="236" t="str">
        <x:v>YatzyController / YatzyUI / RewardChestInventory</x:v>
      </x:c>
      <x:c r="E10" s="236" t="str">
        <x:v>설계 확정·구현 필요</x:v>
      </x:c>
      <x:c r="F10" s="236" t="str">
        <x:v>얏찌_제작명세_0806 참조</x:v>
      </x:c>
    </x:row>
    <x:row r="11" ht="22.5" customHeight="1">
      <x:c r="A11" s="10" t="inlineStr">
        <x:is>
          <x:t xml:space="preserve">랭킹</x:t>
        </x:is>
      </x:c>
      <x:c r="B11" s="10" t="inlineStr">
        <x:is>
          <x:t xml:space="preserve">준비중 플레이스홀더</x:t>
        </x:is>
      </x:c>
      <x:c r="C11" s="10" t="inlineStr">
        <x:is>
          <x:t xml:space="preserve">탭 자리만 먼저 확보</x:t>
        </x:is>
      </x:c>
      <x:c r="D11" s="10" t="inlineStr">
        <x:is>
          <x:t xml:space="preserve">MetaFlowUI.ShowOutgamePlaceholder</x:t>
        </x:is>
      </x:c>
      <x:c r="E11" s="10" t="inlineStr">
        <x:is>
          <x:t xml:space="preserve">코드 동기화 완료</x:t>
        </x:is>
      </x:c>
      <x:c r="F11" s="10" t="inlineStr">
        <x:is>
          <x:t xml:space="preserve">시즌/서비스 랭킹 후보</x:t>
        </x:is>
      </x:c>
    </x:row>
    <x:row r="12" ht="22.5" customHeight="1">
      <x:c r="A12" s="10" t="inlineStr">
        <x:is>
          <x:t xml:space="preserve">성장 테크트리</x:t>
        </x:is>
      </x:c>
      <x:c r="B12" s="10" t="inlineStr">
        <x:is>
          <x:t xml:space="preserve">아직 미구현</x:t>
        </x:is>
      </x:c>
      <x:c r="C12" s="10" t="inlineStr">
        <x:is>
          <x:t xml:space="preserve">추후 아웃게임 탭 또는 인벤 서브 화면</x:t>
        </x:is>
      </x:c>
      <x:c r="D12" s="10" t="inlineStr">
        <x:is>
          <x:t xml:space="preserve">코드 동기화 완료</x:t>
        </x:is>
      </x:c>
      <x:c r="E12" s="10" t="inlineStr">
        <x:is>
          <x:t xml:space="preserve">코드 동기화 완료</x:t>
        </x:is>
      </x:c>
      <x:c r="F12" s="10" t="inlineStr">
        <x:is>
          <x:t xml:space="preserve">확정 후 별도 시트 업데이트</x:t>
        </x:is>
      </x:c>
    </x:row>
    <x:row r="13" ht="22.5" customHeight="1"/>
    <x:row r="14" ht="22.5" customHeight="1">
      <x:c r="A14" s="12" t="inlineStr">
        <x:is>
          <x:t xml:space="preserve">화면 전환 흐름</x:t>
        </x:is>
      </x:c>
    </x:row>
    <x:row r="15" ht="25.5" customHeight="1">
      <x:c r="A15" s="13" t="inlineStr">
        <x:is>
          <x:t xml:space="preserve">상황</x:t>
        </x:is>
      </x:c>
      <x:c r="B15" s="13" t="inlineStr">
        <x:is>
          <x:t xml:space="preserve">전환</x:t>
        </x:is>
      </x:c>
      <x:c r="C15" s="13" t="inlineStr">
        <x:is>
          <x:t xml:space="preserve">상태 처리</x:t>
        </x:is>
      </x:c>
      <x:c r="D15" s="13" t="inlineStr">
        <x:is>
          <x:t xml:space="preserve">구현 위치</x:t>
        </x:is>
      </x:c>
      <x:c r="E15" s="13" t="inlineStr">
        <x:is>
          <x:t xml:space="preserve">확인 포인트</x:t>
        </x:is>
      </x:c>
    </x:row>
    <x:row r="16" ht="22.5" customHeight="1">
      <x:c r="A16" s="10" t="inlineStr">
        <x:is>
          <x:t xml:space="preserve">앱/씬 시작</x:t>
        </x:is>
      </x:c>
      <x:c r="B16" s="10" t="inlineStr">
        <x:is>
          <x:t xml:space="preserve">아웃게임 허브 표시</x:t>
        </x:is>
      </x:c>
      <x:c r="C16" s="10" t="inlineStr">
        <x:is>
          <x:t xml:space="preserve">인게임 HUD 숨김</x:t>
        </x:is>
      </x:c>
      <x:c r="D16" s="10" t="inlineStr">
        <x:is>
          <x:t xml:space="preserve">MetaFlowUI.Configure -&gt; ShowLobby</x:t>
        </x:is>
      </x:c>
      <x:c r="E16" s="10" t="inlineStr">
        <x:is>
          <x:t xml:space="preserve">첫 화면이 로비처럼 보이는지</x:t>
        </x:is>
      </x:c>
    </x:row>
    <x:row r="17" ht="22.5" customHeight="1">
      <x:c r="A17" s="10" t="inlineStr">
        <x:is>
          <x:t xml:space="preserve">대전 버튼</x:t>
        </x:is>
      </x:c>
      <x:c r="B17" s="10" t="inlineStr">
        <x:is>
          <x:t xml:space="preserve">매칭 UI 표시</x:t>
        </x:is>
      </x:c>
      <x:c r="C17" s="10" t="inlineStr">
        <x:is>
          <x:t xml:space="preserve">HUD 숨김 유지</x:t>
        </x:is>
      </x:c>
      <x:c r="D17" s="10" t="inlineStr">
        <x:is>
          <x:t xml:space="preserve">MetaFlowUI.HandleBattlePressed / ShowMatchmaking</x:t>
        </x:is>
      </x:c>
      <x:c r="E17" s="10" t="inlineStr">
        <x:is>
          <x:t xml:space="preserve">매칭 UI 정렬</x:t>
        </x:is>
      </x:c>
    </x:row>
    <x:row r="18" ht="22.5" customHeight="1">
      <x:c r="A18" s="10" t="inlineStr">
        <x:is>
          <x:t xml:space="preserve">라운드 시작</x:t>
        </x:is>
      </x:c>
      <x:c r="B18" s="10" t="inlineStr">
        <x:is>
          <x:t xml:space="preserve">인게임 HUD 표시</x:t>
        </x:is>
      </x:c>
      <x:c r="C18" s="10" t="inlineStr">
        <x:is>
          <x:t xml:space="preserve">아웃게임 오버레이 숨김</x:t>
        </x:is>
      </x:c>
      <x:c r="D18" s="10" t="inlineStr">
        <x:is>
          <x:t xml:space="preserve">MetaFlowUI.HandleRoundStarted</x:t>
        </x:is>
      </x:c>
      <x:c r="E18" s="10" t="inlineStr">
        <x:is>
          <x:t xml:space="preserve">전투 조작만 남는지</x:t>
        </x:is>
      </x:c>
    </x:row>
    <x:row r="19" ht="22.5" customHeight="1">
      <x:c r="A19" s="10" t="inlineStr">
        <x:is>
          <x:t xml:space="preserve">인게임 나가기</x:t>
        </x:is>
      </x:c>
      <x:c r="B19" s="10" t="inlineStr">
        <x:is>
          <x:t xml:space="preserve">아웃게임 허브 복귀</x:t>
        </x:is>
      </x:c>
      <x:c r="C19" s="10" t="inlineStr">
        <x:is>
          <x:t xml:space="preserve">라운드/몬스터/보드/런 통계 초기화</x:t>
        </x:is>
      </x:c>
      <x:c r="D19" s="10" t="inlineStr">
        <x:is>
          <x:t xml:space="preserve">HandleExitToOutgamePressed / ExitToOutgame</x:t>
        </x:is>
      </x:c>
      <x:c r="E19" s="10" t="inlineStr">
        <x:is>
          <x:t xml:space="preserve">전투 중 나가도 몬스터가 남지 않는지</x:t>
        </x:is>
      </x:c>
    </x:row>
    <x:row r="20" ht="22.5" customHeight="1">
      <x:c r="A20" s="10" t="inlineStr">
        <x:is>
          <x:t xml:space="preserve">승리 결과창 로비</x:t>
        </x:is>
      </x:c>
      <x:c r="B20" s="10" t="inlineStr">
        <x:is>
          <x:t xml:space="preserve">아웃게임 허브 복귀</x:t>
        </x:is>
      </x:c>
      <x:c r="C20" s="10" t="inlineStr">
        <x:is>
          <x:t xml:space="preserve">현재 런 종료 처리</x:t>
        </x:is>
      </x:c>
      <x:c r="D20" s="10" t="inlineStr">
        <x:is>
          <x:t xml:space="preserve">ResultLobbyButton -&gt; HandleExitToOutgamePressed</x:t>
        </x:is>
      </x:c>
      <x:c r="E20" s="10" t="inlineStr">
        <x:is>
          <x:t xml:space="preserve">계속 버튼과 역할 분리</x:t>
        </x:is>
      </x:c>
    </x:row>
    <x:row r="21" ht="22.5" customHeight="1">
      <x:c r="A21" s="10" t="inlineStr">
        <x:is>
          <x:t xml:space="preserve">승리 결과창 계속</x:t>
        </x:is>
      </x:c>
      <x:c r="B21" s="10" t="inlineStr">
        <x:is>
          <x:t xml:space="preserve">인게임 준비 상태 유지</x:t>
        </x:is>
      </x:c>
      <x:c r="C21" s="10" t="inlineStr">
        <x:is>
          <x:t xml:space="preserve">다음 라운드 준비</x:t>
        </x:is>
      </x:c>
      <x:c r="D21" s="10" t="inlineStr">
        <x:is>
          <x:t xml:space="preserve">ContinueFromResult</x:t>
        </x:is>
      </x:c>
      <x:c r="E21" s="10" t="inlineStr">
        <x:is>
          <x:t xml:space="preserve">계속 시 HUD 유지</x:t>
        </x:is>
      </x:c>
    </x:row>
    <x:row r="22" ht="22.5" customHeight="1">
      <x:c r="A22" s="10" t="inlineStr">
        <x:is>
          <x:t xml:space="preserve">상점 닫기</x:t>
        </x:is>
      </x:c>
      <x:c r="B22" s="10" t="inlineStr">
        <x:is>
          <x:t xml:space="preserve">아웃게임 로비 복귀</x:t>
        </x:is>
      </x:c>
      <x:c r="C22" s="10" t="inlineStr">
        <x:is>
          <x:t xml:space="preserve">OutgameShop 씬 언로드</x:t>
        </x:is>
      </x:c>
      <x:c r="D22" s="10" t="inlineStr">
        <x:is>
          <x:t xml:space="preserve">MetaFlowUI.HideShop</x:t>
        </x:is>
      </x:c>
      <x:c r="E22" s="10" t="inlineStr">
        <x:is>
          <x:t xml:space="preserve">탭 하이라이트 복귀</x:t>
        </x:is>
      </x:c>
    </x:row>
    <x:row r="23" ht="22.5" customHeight="1"/>
    <x:row r="24" ht="22.5" customHeight="1">
      <x:c r="A24" s="12" t="inlineStr">
        <x:is>
          <x:t xml:space="preserve">향후 작업 후보</x:t>
        </x:is>
      </x:c>
    </x:row>
    <x:row r="25" ht="25.5" customHeight="1">
      <x:c r="A25" s="13" t="inlineStr">
        <x:is>
          <x:t xml:space="preserve">우선순위</x:t>
        </x:is>
      </x:c>
      <x:c r="B25" s="13" t="inlineStr">
        <x:is>
          <x:t xml:space="preserve">기능</x:t>
        </x:is>
      </x:c>
      <x:c r="C25" s="13" t="inlineStr">
        <x:is>
          <x:t xml:space="preserve">내용</x:t>
        </x:is>
      </x:c>
      <x:c r="D25" s="13" t="inlineStr">
        <x:is>
          <x:t xml:space="preserve">추천 위치</x:t>
        </x:is>
      </x:c>
      <x:c r="E25" s="13" t="inlineStr">
        <x:is>
          <x:t xml:space="preserve">상태</x:t>
        </x:is>
      </x:c>
      <x:c r="F25" s="13" t="inlineStr">
        <x:is>
          <x:t xml:space="preserve">메모</x:t>
        </x:is>
      </x:c>
    </x:row>
    <x:row r="26" ht="22.5" customHeight="1">
      <x:c r="A26" s="10" t="n">
        <x:v>1</x:v>
      </x:c>
      <x:c r="B26" s="10" t="inlineStr">
        <x:is>
          <x:t xml:space="preserve">아웃게임 배경 연출</x:t>
        </x:is>
      </x:c>
      <x:c r="C26" s="10" t="inlineStr">
        <x:is>
          <x:t xml:space="preserve">롤롤 레퍼런스처럼 실험실/로비 배경과 캐릭터 배치</x:t>
        </x:is>
      </x:c>
      <x:c r="D26" s="10" t="inlineStr">
        <x:is>
          <x:t xml:space="preserve">MetaFlowUI 또는 별도 OutgameScene</x:t>
        </x:is>
      </x:c>
      <x:c r="E26" s="10" t="inlineStr">
        <x:is>
          <x:t xml:space="preserve">후보</x:t>
        </x:is>
      </x:c>
      <x:c r="F26" s="10" t="inlineStr">
        <x:is>
          <x:t xml:space="preserve">리소스 확보 후 적용</x:t>
        </x:is>
      </x:c>
    </x:row>
    <x:row r="27" ht="22.5" customHeight="1">
      <x:c r="A27" s="10" t="n">
        <x:v>2</x:v>
      </x:c>
      <x:c r="B27" s="10" t="inlineStr">
        <x:is>
          <x:t xml:space="preserve">상점 뽑기 연출 강화</x:t>
        </x:is>
      </x:c>
      <x:c r="C27" s="10" t="inlineStr">
        <x:is>
          <x:t xml:space="preserve">상자 개봉, 카드 등장, 등급별 이펙트</x:t>
        </x:is>
      </x:c>
      <x:c r="D27" s="10" t="inlineStr">
        <x:is>
          <x:t xml:space="preserve">MetaFlowUI.RevealDrawResults</x:t>
        </x:is>
      </x:c>
      <x:c r="E27" s="10" t="inlineStr">
        <x:is>
          <x:t xml:space="preserve">후보</x:t>
        </x:is>
      </x:c>
      <x:c r="F27" s="10" t="inlineStr">
        <x:is>
          <x:t xml:space="preserve">현재는 텍스트 결과</x:t>
        </x:is>
      </x:c>
    </x:row>
    <x:row r="28" ht="22.5" customHeight="1">
      <x:c r="A28" s="10" t="n">
        <x:v>3</x:v>
      </x:c>
      <x:c r="B28" s="10" t="inlineStr">
        <x:is>
          <x:t xml:space="preserve">인벤토리 명칭/구성</x:t>
        </x:is>
      </x:c>
      <x:c r="C28" s="10" t="inlineStr">
        <x:is>
          <x:t xml:space="preserve">도감과 인벤을 통합할지 분리할지 결정</x:t>
        </x:is>
      </x:c>
      <x:c r="D28" s="10" t="inlineStr">
        <x:is>
          <x:t xml:space="preserve">CharacterCollectionUI</x:t>
        </x:is>
      </x:c>
      <x:c r="E28" s="10" t="inlineStr">
        <x:is>
          <x:t xml:space="preserve">코드 동기화 완료</x:t>
        </x:is>
      </x:c>
      <x:c r="F28" s="10" t="inlineStr">
        <x:is>
          <x:t xml:space="preserve">보유/미보유/성장 카드 표시</x:t>
        </x:is>
      </x:c>
    </x:row>
    <x:row r="29" ht="22.5" customHeight="1">
      <x:c r="A29" s="236" t="n">
        <x:v>4</x:v>
      </x:c>
      <x:c r="B29" s="236" t="str">
        <x:v>티켓·배수 상자형 보상 모드</x:v>
      </x:c>
      <x:c r="C29" s="236" t="str">
        <x:v>골드 재굴림 100 고정, 홀드 20/50, 천장 없음</x:v>
      </x:c>
      <x:c r="D29" s="236" t="str">
        <x:v>YatzyController / YatzyUI</x:v>
      </x:c>
      <x:c r="E29" s="236" t="str">
        <x:v>P1~P3 구현 예정</x:v>
      </x:c>
      <x:c r="F29" s="236" t="str">
        <x:v>신화/초월 무료 획득 경로 포함</x:v>
      </x:c>
    </x:row>
    <x:row r="30" ht="22.5" customHeight="1">
      <x:c r="A30" s="10" t="n">
        <x:v>5</x:v>
      </x:c>
      <x:c r="B30" s="10" t="inlineStr">
        <x:is>
          <x:t xml:space="preserve">얏찌 컨텐츠</x:t>
        </x:is>
      </x:c>
      <x:c r="C30" s="10" t="inlineStr">
        <x:is>
          <x:t xml:space="preserve">주사위 굴림형 일일 보너스 또는 시즌 이벤트</x:t>
        </x:is>
      </x:c>
      <x:c r="D30" s="10" t="inlineStr">
        <x:is>
          <x:t xml:space="preserve">신규 OutgameDiceEventUI</x:t>
        </x:is>
      </x:c>
      <x:c r="E30" s="10" t="inlineStr">
        <x:is>
          <x:t xml:space="preserve">코드 동기화 완료</x:t>
        </x:is>
      </x:c>
      <x:c r="F30" s="10" t="inlineStr">
        <x:is>
          <x:t xml:space="preserve">운빨 도파민 후보</x:t>
        </x:is>
      </x:c>
    </x:row>
    <x:row r="31" ht="22.5" customHeight="1">
      <x:c r="A31" s="10" t="n">
        <x:v>6</x:v>
      </x:c>
      <x:c r="B31" s="10" t="inlineStr">
        <x:is>
          <x:t xml:space="preserve">랭킹</x:t>
        </x:is>
      </x:c>
      <x:c r="C31" s="10" t="inlineStr">
        <x:is>
          <x:t xml:space="preserve">웨이브/스코어/시즌 랭킹</x:t>
        </x:is>
      </x:c>
      <x:c r="D31" s="10" t="inlineStr">
        <x:is>
          <x:t xml:space="preserve">신규 RankingUI</x:t>
        </x:is>
      </x:c>
      <x:c r="E31" s="10" t="inlineStr">
        <x:is>
          <x:t xml:space="preserve">코드 동기화 완료</x:t>
        </x:is>
      </x:c>
      <x:c r="F31" s="10" t="inlineStr">
        <x:is>
          <x:t xml:space="preserve">서비스 모드 기준 필요</x:t>
        </x:is>
      </x:c>
    </x:row>
    <x:row r="32" ht="22.5" customHeight="1">
      <x:c r="A32" s="10" t="n">
        <x:v>7</x:v>
      </x:c>
      <x:c r="B32" s="10" t="inlineStr">
        <x:is>
          <x:t xml:space="preserve">씬 완전 분리</x:t>
        </x:is>
      </x:c>
      <x:c r="C32" s="10" t="inlineStr">
        <x:is>
          <x:t xml:space="preserve">RuntimeCanvas와 전투 씬을 별도 Unity Scene으로 분리</x:t>
        </x:is>
      </x:c>
      <x:c r="D32" s="10" t="inlineStr">
        <x:is>
          <x:t xml:space="preserve">SceneManager flow</x:t>
        </x:is>
      </x:c>
      <x:c r="E32" s="10" t="inlineStr">
        <x:is>
          <x:t xml:space="preserve">장기</x:t>
        </x:is>
      </x:c>
      <x:c r="F32" s="10" t="inlineStr">
        <x:is>
          <x:t xml:space="preserve">현재는 UI/상태 흐름 1차 분리</x:t>
        </x:is>
      </x:c>
    </x:row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</x:sheetData>
  <x:mergeCells>
    <x:mergeCell ref="A24:F24"/>
    <x:mergeCell ref="A1:H1"/>
    <x:mergeCell ref="A14:E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18" customWidth="1"/>
    <x:col min="4" max="4" width="46" customWidth="1"/>
    <x:col min="5" max="5" width="48" customWidth="1"/>
    <x:col min="6" max="6" width="24" customWidth="1"/>
    <x:col min="7" max="7" width="28" customWidth="1"/>
    <x:col min="8" max="8" width="46" customWidth="1"/>
    <x:col min="9" max="9" width="34" customWidth="1"/>
    <x:col min="10" max="10" width="42" customWidth="1"/>
    <x:col min="11" max="11" width="34" customWidth="1"/>
  </x:cols>
  <x:sheetData>
    <x:row r="1" ht="28" customHeight="1">
      <x:c r="A1" s="1" t="inlineStr">
        <x:is>
          <x:t xml:space="preserve">영웅 등급표 - 장기 번호 구간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</x:row>
    <x:row r="2" ht="28" customHeight="1">
      <x:c r="A2" t="inlineStr">
        <x:is>
          <x:t xml:space="preserve">기준</x:t>
        </x:is>
      </x:c>
      <x:c r="B2" t="inlineStr">
        <x:is>
          <x:t xml:space="preserve">스샷 빨간 영역</x:t>
        </x:is>
      </x:c>
      <x:c r="C2" t="inlineStr">
        <x:is>
          <x:t xml:space="preserve">등급 구간</x:t>
        </x:is>
      </x:c>
      <x:c r="D2" t="inlineStr">
        <x:is>
          <x:t xml:space="preserve">일반 5 / 레어 5 / 희귀 10 / 전설 10 / 신화 20 / 초월 50</x:t>
        </x:is>
      </x:c>
      <x:c r="E2" t="inlineStr">
        <x:is>
          <x:t xml:space="preserve">코드 기준</x:t>
        </x:is>
      </x:c>
      <x:c r="F2" t="inlineStr">
        <x:is>
          <x:t xml:space="preserve">CharacterDatabase canonical hero grade override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 수</x:t>
        </x:is>
      </x:c>
      <x:c r="C4" s="1" t="inlineStr">
        <x:is>
          <x:t xml:space="preserve">영웅 ID 범위</x:t>
        </x:is>
      </x:c>
      <x:c r="D4" s="1" t="inlineStr">
        <x:is>
          <x:t xml:space="preserve">프리팹 이름</x:t>
        </x:is>
      </x:c>
      <x:c r="E4" s="1" t="inlineStr">
        <x:is>
          <x:t xml:space="preserve">밸런스 기준</x:t>
        </x:is>
      </x:c>
    </x:row>
    <x:row r="5" ht="34" customHeight="1">
      <x:c r="A5" t="inlineStr">
        <x:is>
          <x:t xml:space="preserve">일반</x:t>
        </x:is>
      </x:c>
      <x:c r="B5" t="n">
        <x:v>5</x:v>
      </x:c>
      <x:c r="C5" t="inlineStr">
        <x:is>
          <x:t xml:space="preserve">hero_01 ~ hero_05</x:t>
        </x:is>
      </x:c>
      <x:c r="D5" t="inlineStr">
        <x:is>
          <x:t xml:space="preserve">dice_fire, dice_heal, dice_ice, dice_poison, dice_shield</x:t>
        </x:is>
      </x:c>
      <x:c r="E5" t="inlineStr">
        <x:is>
          <x:t xml:space="preserve">서비스 시작 5종. 초반 승리감과 기본 역할 학습.</x:t>
        </x:is>
      </x:c>
    </x:row>
    <x:row r="6" ht="34" customHeight="1">
      <x:c r="A6" t="inlineStr">
        <x:is>
          <x:t xml:space="preserve">레어</x:t>
        </x:is>
      </x:c>
      <x:c r="B6" t="n">
        <x:v>5</x:v>
      </x:c>
      <x:c r="C6" t="inlineStr">
        <x:is>
          <x:t xml:space="preserve">hero_06 ~ hero_10</x:t>
        </x:is>
      </x:c>
      <x:c r="D6" t="inlineStr">
        <x:is>
          <x:t xml:space="preserve">dice_assault, Dice_Death, Dice_Medusa, Dice_Spear, dice_wind</x:t>
        </x:is>
      </x:c>
      <x:c r="E6" t="inlineStr">
        <x:is>
          <x:t xml:space="preserve">첫 보스 전 목표. 관통/비례딜/제어/버스트 확보.</x:t>
        </x:is>
      </x:c>
    </x:row>
    <x:row r="7" ht="34" customHeight="1">
      <x:c r="A7" t="inlineStr">
        <x:is>
          <x:t xml:space="preserve">희귀</x:t>
        </x:is>
      </x:c>
      <x:c r="B7" t="n">
        <x:v>10</x:v>
      </x:c>
      <x:c r="C7" t="inlineStr">
        <x:is>
          <x:t xml:space="preserve">hero_11 ~ hero_20</x:t>
        </x:is>
      </x:c>
      <x:c r="D7" t="inlineStr">
        <x:is>
          <x:t xml:space="preserve">hero_11~14: Dice_Absorption, Dice_Assassin, Dice_Battery, Dice_Light / hero_15~20 빈 슬롯</x:t>
        </x:is>
      </x:c>
      <x:c r="E7" t="inlineStr">
        <x:is>
          <x:t xml:space="preserve">중반 안정화. 남은 희귀 슬롯은 업데이트 확장용.</x:t>
        </x:is>
      </x:c>
    </x:row>
    <x:row r="8" ht="34" customHeight="1">
      <x:c r="A8" t="inlineStr">
        <x:is>
          <x:t xml:space="preserve">전설</x:t>
        </x:is>
      </x:c>
      <x:c r="B8" t="n">
        <x:v>10</x:v>
      </x:c>
      <x:c r="C8" t="inlineStr">
        <x:is>
          <x:t xml:space="preserve">hero_21 ~ hero_30</x:t>
        </x:is>
      </x:c>
      <x:c r="D8" t="inlineStr">
        <x:is>
          <x:t xml:space="preserve">hero_21~23: Dice_Summon, Dice_Thornshield, Dice_Wolf_T / hero_24~30 빈 슬롯</x:t>
        </x:is>
      </x:c>
      <x:c r="E8" t="inlineStr">
        <x:is>
          <x:t xml:space="preserve">중후반 기준. 남은 전설 슬롯은 업데이트 확장용.</x:t>
        </x:is>
      </x:c>
    </x:row>
    <x:row r="9" ht="34" customHeight="1">
      <x:c r="A9" t="inlineStr">
        <x:is>
          <x:t xml:space="preserve">신화</x:t>
        </x:is>
      </x:c>
      <x:c r="B9" t="n">
        <x:v>20</x:v>
      </x:c>
      <x:c r="C9" t="inlineStr">
        <x:is>
          <x:t xml:space="preserve">hero_31 ~ hero_50</x:t>
        </x:is>
      </x:c>
      <x:c r="D9" t="inlineStr">
        <x:is>
          <x:t xml:space="preserve">hero_31~33: Dice_Combat, Dice_Wolf, Dice_Infection / hero_34~50 빈 슬롯</x:t>
        </x:is>
      </x:c>
      <x:c r="E9" t="inlineStr">
        <x:is>
          <x:t xml:space="preserve">상위 보상. 남은 신화 슬롯은 업데이트 확장용.</x:t>
        </x:is>
      </x:c>
    </x:row>
    <x:row r="10" ht="34" customHeight="1">
      <x:c r="A10" t="inlineStr">
        <x:is>
          <x:t xml:space="preserve">초월</x:t>
        </x:is>
      </x:c>
      <x:c r="B10" t="n">
        <x:v>50</x:v>
      </x:c>
      <x:c r="C10" t="inlineStr">
        <x:is>
          <x:t xml:space="preserve">hero_51 ~ hero_100</x:t>
        </x:is>
      </x:c>
      <x:c r="D10" t="inlineStr">
        <x:is>
          <x:t xml:space="preserve">hero_51~57: Dice_Lightning, Dice_Meteor, Dice_Minigun, Dice_Gargoyle, Dice_armor, dice_auto, Dice_Broken / hero_58~100 빈 슬롯</x:t>
        </x:is>
      </x:c>
      <x:c r="E10" t="inlineStr">
        <x:is>
          <x:t xml:space="preserve">최상위 결과군. hero_55~57은 신화 키 재료를 포함한 전용 레시피로 조합.</x:t>
        </x:is>
      </x:c>
    </x:row>
    <x:row r="11" ht="8" customHeight="1"/>
    <x:row r="12" ht="28" customHeight="1">
      <x:c r="A12" s="1" t="inlineStr">
        <x:is>
          <x:t xml:space="preserve">등급</x:t>
        </x:is>
      </x:c>
      <x:c r="B12" s="1" t="inlineStr">
        <x:is>
          <x:t xml:space="preserve">영웅</x:t>
        </x:is>
      </x:c>
      <x:c r="C12" s="1" t="inlineStr">
        <x:is>
          <x:t xml:space="preserve">프리팹 이름</x:t>
        </x:is>
      </x:c>
      <x:c r="D12" s="1" t="inlineStr">
        <x:is>
          <x:t xml:space="preserve">스킬명</x:t>
        </x:is>
      </x:c>
      <x:c r="E12" s="1" t="inlineStr">
        <x:is>
          <x:t xml:space="preserve">핵심 수치</x:t>
        </x:is>
      </x:c>
      <x:c r="F12" s="1" t="inlineStr">
        <x:is>
          <x:t xml:space="preserve">성장 대상</x:t>
        </x:is>
      </x:c>
      <x:c r="G12" s="1" t="inlineStr">
        <x:is>
          <x:t xml:space="preserve">효과 타입</x:t>
        </x:is>
      </x:c>
      <x:c r="H12" s="1" t="inlineStr">
        <x:is>
          <x:t xml:space="preserve">메모</x:t>
        </x:is>
      </x:c>
      <x:c r="I12" s="1" t="inlineStr">
        <x:is>
          <x:t xml:space="preserve">평타 데미지(Lv1)</x:t>
        </x:is>
      </x:c>
      <x:c r="J12" s="1" t="inlineStr">
        <x:is>
          <x:t xml:space="preserve">스킬 데미지/효과(Lv1)</x:t>
        </x:is>
      </x:c>
      <x:c r="K12" s="1" t="inlineStr">
        <x:is>
          <x:t xml:space="preserve">데미지/성장 메모</x:t>
        </x:is>
      </x:c>
    </x:row>
    <x:row r="13" ht="28" customHeight="1">
      <x:c r="A13" t="inlineStr">
        <x:is>
          <x:t xml:space="preserve">일반</x:t>
        </x:is>
      </x:c>
      <x:c r="B13" t="inlineStr">
        <x:is>
          <x:t xml:space="preserve">hero_01</x:t>
        </x:is>
      </x:c>
      <x:c r="C13" t="inlineStr">
        <x:is>
          <x:t xml:space="preserve">dice_fire</x:t>
        </x:is>
      </x:c>
      <x:c r="D13" t="inlineStr">
        <x:is>
          <x:t xml:space="preserve">폭발 범위공격</x:t>
        </x:is>
      </x:c>
      <x:c r="E13" t="inlineStr">
        <x:is>
          <x:t xml:space="preserve">200%, 3m</x:t>
        </x:is>
      </x:c>
      <x:c r="F13" t="inlineStr">
        <x:is>
          <x:t xml:space="preserve">피해량</x:t>
        </x:is>
      </x:c>
      <x:c r="G13" t="inlineStr">
        <x:is>
          <x:t xml:space="preserve">AreaDamage</x:t>
        </x:is>
      </x:c>
      <x:c r="H13" t="inlineStr">
        <x:is>
          <x:t xml:space="preserve">초반 시원한 승리감 담당</x:t>
        </x:is>
      </x:c>
      <x:c r="I13" t="inlineStr">
        <x:is>
          <x:t xml:space="preserve">9.9 (공격력 100%, 근거리 4m)</x:t>
        </x:is>
      </x:c>
      <x:c r="J13" t="inlineStr">
        <x:is>
          <x:t xml:space="preserve">19.8 (공격력 200%, 3m 광역)</x:t>
        </x:is>
      </x:c>
      <x:c r="K13" t="inlineStr">
        <x:is>
          <x:t xml:space="preserve">피해량 성장</x:t>
        </x:is>
      </x:c>
    </x:row>
    <x:row r="14" ht="28" customHeight="1">
      <x:c r="A14" t="inlineStr">
        <x:is>
          <x:t xml:space="preserve">일반</x:t>
        </x:is>
      </x:c>
      <x:c r="B14" t="inlineStr">
        <x:is>
          <x:t xml:space="preserve">hero_02</x:t>
        </x:is>
      </x:c>
      <x:c r="C14" t="inlineStr">
        <x:is>
          <x:t xml:space="preserve">dice_heal</x:t>
        </x:is>
      </x:c>
      <x:c r="D14" t="inlineStr">
        <x:is>
          <x:t xml:space="preserve">이중 회복</x:t>
        </x:is>
      </x:c>
      <x:c r="E14" t="inlineStr">
        <x:is>
          <x:t xml:space="preserve">30%, 2명</x:t>
        </x:is>
      </x:c>
      <x:c r="F14" t="inlineStr">
        <x:is>
          <x:t xml:space="preserve">회복량</x:t>
        </x:is>
      </x:c>
      <x:c r="G14" t="inlineStr">
        <x:is>
          <x:t xml:space="preserve">HealLowestAllies</x:t>
        </x:is>
      </x:c>
      <x:c r="H14" t="inlineStr">
        <x:is>
          <x:t xml:space="preserve">힐 FX/상태 표시 필요</x:t>
        </x:is>
      </x:c>
      <x:c r="I14" t="inlineStr">
        <x:is>
          <x:t xml:space="preserve">10.0 (공격력 100%, 원거리 6m)</x:t>
        </x:is>
      </x:c>
      <x:c r="J14" t="inlineStr">
        <x:is>
          <x:t xml:space="preserve">피해 없음 / 아군 2명 최대체력 30% 회복</x:t>
        </x:is>
      </x:c>
      <x:c r="K14" t="inlineStr">
        <x:is>
          <x:t xml:space="preserve">회복량 성장</x:t>
        </x:is>
      </x:c>
    </x:row>
    <x:row r="15" ht="28" customHeight="1">
      <x:c r="A15" t="inlineStr">
        <x:is>
          <x:t xml:space="preserve">일반</x:t>
        </x:is>
      </x:c>
      <x:c r="B15" t="inlineStr">
        <x:is>
          <x:t xml:space="preserve">hero_03</x:t>
        </x:is>
      </x:c>
      <x:c r="C15" t="inlineStr">
        <x:is>
          <x:t xml:space="preserve">dice_ice</x:t>
        </x:is>
      </x:c>
      <x:c r="D15" t="inlineStr">
        <x:is>
          <x:t xml:space="preserve">약화 사격</x:t>
        </x:is>
      </x:c>
      <x:c r="E15" t="inlineStr">
        <x:is>
          <x:t xml:space="preserve">40%, 5초</x:t>
        </x:is>
      </x:c>
      <x:c r="F15" t="inlineStr">
        <x:is>
          <x:t xml:space="preserve">감속률</x:t>
        </x:is>
      </x:c>
      <x:c r="G15" t="inlineStr">
        <x:is>
          <x:t xml:space="preserve">DamageSlow</x:t>
        </x:is>
      </x:c>
      <x:c r="H15" t="inlineStr">
        <x:is>
          <x:t xml:space="preserve">디버프 피드백 표시 필요</x:t>
        </x:is>
      </x:c>
      <x:c r="I15" t="inlineStr">
        <x:is>
          <x:t xml:space="preserve">13.8 (공격력 100%, 원거리 7m)</x:t>
        </x:is>
      </x:c>
      <x:c r="J15" t="inlineStr">
        <x:is>
          <x:t xml:space="preserve">20.6 (공격력 150%) + 5초 감속</x:t>
        </x:is>
      </x:c>
      <x:c r="K15" t="inlineStr">
        <x:is>
          <x:t xml:space="preserve">감속률 성장, 피해 150% 고정 기준</x:t>
        </x:is>
      </x:c>
    </x:row>
    <x:row r="16" ht="28" customHeight="1">
      <x:c r="A16" t="inlineStr">
        <x:is>
          <x:t xml:space="preserve">일반</x:t>
        </x:is>
      </x:c>
      <x:c r="B16" t="inlineStr">
        <x:is>
          <x:t xml:space="preserve">hero_04</x:t>
        </x:is>
      </x:c>
      <x:c r="C16" t="inlineStr">
        <x:is>
          <x:t xml:space="preserve">dice_poison</x:t>
        </x:is>
      </x:c>
      <x:c r="D16" t="inlineStr">
        <x:is>
          <x:t xml:space="preserve">독화살</x:t>
        </x:is>
      </x:c>
      <x:c r="E16" t="inlineStr">
        <x:is>
          <x:t xml:space="preserve">50 DPS, 7초</x:t>
        </x:is>
      </x:c>
      <x:c r="F16" t="inlineStr">
        <x:is>
          <x:t xml:space="preserve">초당 피해</x:t>
        </x:is>
      </x:c>
      <x:c r="G16" t="inlineStr">
        <x:is>
          <x:t xml:space="preserve">FixedPoison</x:t>
        </x:is>
      </x:c>
      <x:c r="H16" t="inlineStr">
        <x:is>
          <x:t xml:space="preserve">독 상태 표시 필요</x:t>
        </x:is>
      </x:c>
      <x:c r="I16" t="inlineStr">
        <x:is>
          <x:t xml:space="preserve">12.0 (공격력 100%, 원거리 6m)</x:t>
        </x:is>
      </x:c>
      <x:c r="J16" t="inlineStr">
        <x:is>
          <x:t xml:space="preserve">고정 50 DPS x 7초 = 총 350</x:t>
        </x:is>
      </x:c>
      <x:c r="K16" t="inlineStr">
        <x:is>
          <x:t xml:space="preserve">초당 피해 성장</x:t>
        </x:is>
      </x:c>
    </x:row>
    <x:row r="17" ht="28" customHeight="1">
      <x:c r="A17" t="inlineStr">
        <x:is>
          <x:t xml:space="preserve">일반</x:t>
        </x:is>
      </x:c>
      <x:c r="B17" t="inlineStr">
        <x:is>
          <x:t xml:space="preserve">hero_05</x:t>
        </x:is>
      </x:c>
      <x:c r="C17" t="inlineStr">
        <x:is>
          <x:t xml:space="preserve">dice_shield</x:t>
        </x:is>
      </x:c>
      <x:c r="D17" t="inlineStr">
        <x:is>
          <x:t xml:space="preserve">철벽 방어막</x:t>
        </x:is>
      </x:c>
      <x:c r="E17" t="inlineStr">
        <x:is>
          <x:t xml:space="preserve">100%</x:t>
        </x:is>
      </x:c>
      <x:c r="F17" t="inlineStr">
        <x:is>
          <x:t xml:space="preserve">방어막량</x:t>
        </x:is>
      </x:c>
      <x:c r="G17" t="inlineStr">
        <x:is>
          <x:t xml:space="preserve">DefenseBuff</x:t>
        </x:is>
      </x:c>
      <x:c r="H17" t="inlineStr">
        <x:is>
          <x:t xml:space="preserve">보호막 바/이펙트 표시</x:t>
        </x:is>
      </x:c>
      <x:c r="I17" t="inlineStr">
        <x:is>
          <x:t xml:space="preserve">9.9 (공격력 100%, 근거리 3m)</x:t>
        </x:is>
      </x:c>
      <x:c r="J17" t="inlineStr">
        <x:is>
          <x:t xml:space="preserve">피해 없음 / 최대체력 100% 방어막</x:t>
        </x:is>
      </x:c>
      <x:c r="K17" t="inlineStr">
        <x:is>
          <x:t xml:space="preserve">방어막량 성장</x:t>
        </x:is>
      </x:c>
    </x:row>
    <x:row r="18" ht="28" customHeight="1">
      <x:c r="A18" t="inlineStr">
        <x:is>
          <x:t xml:space="preserve">레어</x:t>
        </x:is>
      </x:c>
      <x:c r="B18" t="inlineStr">
        <x:is>
          <x:t xml:space="preserve">hero_06</x:t>
        </x:is>
      </x:c>
      <x:c r="C18" t="inlineStr">
        <x:is>
          <x:t xml:space="preserve">dice_assault</x:t>
        </x:is>
      </x:c>
      <x:c r="D18" t="inlineStr">
        <x:is>
          <x:t xml:space="preserve">관통 창격</x:t>
        </x:is>
      </x:c>
      <x:c r="E18" t="inlineStr">
        <x:is>
          <x:t xml:space="preserve">200%, 5m</x:t>
        </x:is>
      </x:c>
      <x:c r="F18" t="inlineStr">
        <x:is>
          <x:t xml:space="preserve">피해량</x:t>
        </x:is>
      </x:c>
      <x:c r="G18" t="inlineStr">
        <x:is>
          <x:t xml:space="preserve">LinePierceDamage</x:t>
        </x:is>
      </x:c>
      <x:c r="H18" t="inlineStr">
        <x:is>
          <x:t xml:space="preserve">뒤에 있는 적까지 공격</x:t>
        </x:is>
      </x:c>
      <x:c r="I18" t="inlineStr">
        <x:is>
          <x:t xml:space="preserve">17.6 (공격력 100%, 근거리 3m)</x:t>
        </x:is>
      </x:c>
      <x:c r="J18" t="inlineStr">
        <x:is>
          <x:t xml:space="preserve">35.2 (공격력 200%, 전방 5m 관통)</x:t>
        </x:is>
      </x:c>
      <x:c r="K18" t="inlineStr">
        <x:is>
          <x:t xml:space="preserve">피해량 성장</x:t>
        </x:is>
      </x:c>
    </x:row>
    <x:row r="19" ht="28" customHeight="1">
      <x:c r="A19" t="inlineStr">
        <x:is>
          <x:t xml:space="preserve">레어</x:t>
        </x:is>
      </x:c>
      <x:c r="B19" t="inlineStr">
        <x:is>
          <x:t xml:space="preserve">hero_07</x:t>
        </x:is>
      </x:c>
      <x:c r="C19" t="inlineStr">
        <x:is>
          <x:t xml:space="preserve">Dice_Death</x:t>
        </x:is>
      </x:c>
      <x:c r="D19" t="inlineStr">
        <x:is>
          <x:t xml:space="preserve">생명 파열</x:t>
        </x:is>
      </x:c>
      <x:c r="E19" t="inlineStr">
        <x:is>
          <x:t xml:space="preserve">40%</x:t>
        </x:is>
      </x:c>
      <x:c r="F19" t="inlineStr">
        <x:is>
          <x:t xml:space="preserve">피해량</x:t>
        </x:is>
      </x:c>
      <x:c r="G19" t="inlineStr">
        <x:is>
          <x:t xml:space="preserve">PercentHealthDamage</x:t>
        </x:is>
      </x:c>
      <x:c r="H19" t="inlineStr">
        <x:is>
          <x:t xml:space="preserve">보스에는 필요 시 보정 적용</x:t>
        </x:is>
      </x:c>
      <x:c r="I19" t="inlineStr">
        <x:is>
          <x:t xml:space="preserve">17.0 (공격력 100%, 근거리 3m)</x:t>
        </x:is>
      </x:c>
      <x:c r="J19" t="inlineStr">
        <x:is>
          <x:t xml:space="preserve">적 현재 체력 40% 피해</x:t>
        </x:is>
      </x:c>
      <x:c r="K19" t="inlineStr">
        <x:is>
          <x:t xml:space="preserve">비례 피해 성장</x:t>
        </x:is>
      </x:c>
    </x:row>
    <x:row r="20" ht="28" customHeight="1">
      <x:c r="A20" t="inlineStr">
        <x:is>
          <x:t xml:space="preserve">레어</x:t>
        </x:is>
      </x:c>
      <x:c r="B20" t="inlineStr">
        <x:is>
          <x:t xml:space="preserve">hero_08</x:t>
        </x:is>
      </x:c>
      <x:c r="C20" t="inlineStr">
        <x:is>
          <x:t xml:space="preserve">Dice_Medusa</x:t>
        </x:is>
      </x:c>
      <x:c r="D20" t="inlineStr">
        <x:is>
          <x:t xml:space="preserve">석화 찌르기</x:t>
        </x:is>
      </x:c>
      <x:c r="E20" t="inlineStr">
        <x:is>
          <x:t xml:space="preserve">5초, 3m</x:t>
        </x:is>
      </x:c>
      <x:c r="F20" t="inlineStr">
        <x:is>
          <x:t xml:space="preserve">석화 시간</x:t>
        </x:is>
      </x:c>
      <x:c r="G20" t="inlineStr">
        <x:is>
          <x:t xml:space="preserve">StoneLine</x:t>
        </x:is>
      </x:c>
      <x:c r="H20" t="inlineStr">
        <x:is>
          <x:t xml:space="preserve">석상 시각 피드백 중요</x:t>
        </x:is>
      </x:c>
      <x:c r="I20" t="inlineStr">
        <x:is>
          <x:t xml:space="preserve">22.5 (공격력 100%, 원거리 5m)</x:t>
        </x:is>
      </x:c>
      <x:c r="J20" t="inlineStr">
        <x:is>
          <x:t xml:space="preserve">피해 없음 / 전방 3m 5초 석화</x:t>
        </x:is>
      </x:c>
      <x:c r="K20" t="inlineStr">
        <x:is>
          <x:t xml:space="preserve">석화 시간 성장</x:t>
        </x:is>
      </x:c>
    </x:row>
    <x:row r="21" ht="28" customHeight="1">
      <x:c r="A21" t="inlineStr">
        <x:is>
          <x:t xml:space="preserve">레어</x:t>
        </x:is>
      </x:c>
      <x:c r="B21" t="inlineStr">
        <x:is>
          <x:t xml:space="preserve">hero_09</x:t>
        </x:is>
      </x:c>
      <x:c r="C21" t="inlineStr">
        <x:is>
          <x:t xml:space="preserve">Dice_Spear</x:t>
        </x:is>
      </x:c>
      <x:c r="D21" t="inlineStr">
        <x:is>
          <x:t xml:space="preserve">전방 참격</x:t>
        </x:is>
      </x:c>
      <x:c r="E21" t="inlineStr">
        <x:is>
          <x:t xml:space="preserve">200%, 5m</x:t>
        </x:is>
      </x:c>
      <x:c r="F21" t="inlineStr">
        <x:is>
          <x:t xml:space="preserve">피해량</x:t>
        </x:is>
      </x:c>
      <x:c r="G21" t="inlineStr">
        <x:is>
          <x:t xml:space="preserve">LinePierceDamage</x:t>
        </x:is>
      </x:c>
      <x:c r="H21" t="inlineStr">
        <x:is>
          <x:t xml:space="preserve">전방 범위 시각화 권장</x:t>
        </x:is>
      </x:c>
      <x:c r="I21" t="inlineStr">
        <x:is>
          <x:t xml:space="preserve">16.5 (공격력 100%, 근거리 4m)</x:t>
        </x:is>
      </x:c>
      <x:c r="J21" t="inlineStr">
        <x:is>
          <x:t xml:space="preserve">33.0 (공격력 200%, 전방 5m)</x:t>
        </x:is>
      </x:c>
      <x:c r="K21" t="inlineStr">
        <x:is>
          <x:t xml:space="preserve">피해량 성장</x:t>
        </x:is>
      </x:c>
    </x:row>
    <x:row r="22" ht="28" customHeight="1">
      <x:c r="A22" t="inlineStr">
        <x:is>
          <x:t xml:space="preserve">레어</x:t>
        </x:is>
      </x:c>
      <x:c r="B22" t="inlineStr">
        <x:is>
          <x:t xml:space="preserve">hero_10</x:t>
        </x:is>
      </x:c>
      <x:c r="C22" t="inlineStr">
        <x:is>
          <x:t xml:space="preserve">dice_wind</x:t>
        </x:is>
      </x:c>
      <x:c r="D22" t="inlineStr">
        <x:is>
          <x:t xml:space="preserve">초고속 가속</x:t>
        </x:is>
      </x:c>
      <x:c r="E22" t="inlineStr">
        <x:is>
          <x:t xml:space="preserve">7초</x:t>
        </x:is>
      </x:c>
      <x:c r="F22" t="inlineStr">
        <x:is>
          <x:t xml:space="preserve">지속 시간</x:t>
        </x:is>
      </x:c>
      <x:c r="G22" t="inlineStr">
        <x:is>
          <x:t xml:space="preserve">AttackSpeedBoost</x:t>
        </x:is>
      </x:c>
      <x:c r="H22" t="inlineStr">
        <x:is>
          <x:t xml:space="preserve">강한 자기 버스트</x:t>
        </x:is>
      </x:c>
      <x:c r="I22" t="inlineStr">
        <x:is>
          <x:t xml:space="preserve">16.0 (공격력 100%, 원거리 8m)</x:t>
        </x:is>
      </x:c>
      <x:c r="J22" t="inlineStr">
        <x:is>
          <x:t xml:space="preserve">피해 없음 / 7초 공속 +300%</x:t>
        </x:is>
      </x:c>
      <x:c r="K22" t="inlineStr">
        <x:is>
          <x:t xml:space="preserve">지속 시간 성장</x:t>
        </x:is>
      </x:c>
    </x:row>
    <x:row r="23" ht="28" customHeight="1">
      <x:c r="A23" t="inlineStr">
        <x:is>
          <x:t xml:space="preserve">희귀</x:t>
        </x:is>
      </x:c>
      <x:c r="B23" t="inlineStr">
        <x:is>
          <x:t xml:space="preserve">hero_11</x:t>
        </x:is>
      </x:c>
      <x:c r="C23" t="inlineStr">
        <x:is>
          <x:t xml:space="preserve">Dice_Absorption</x:t>
        </x:is>
      </x:c>
      <x:c r="D23" t="inlineStr">
        <x:is>
          <x:t xml:space="preserve">체력 흡수</x:t>
        </x:is>
      </x:c>
      <x:c r="E23" t="inlineStr">
        <x:is>
          <x:t xml:space="preserve">20%</x:t>
        </x:is>
      </x:c>
      <x:c r="F23" t="inlineStr">
        <x:is>
          <x:t xml:space="preserve">흡수량</x:t>
        </x:is>
      </x:c>
      <x:c r="G23" t="inlineStr">
        <x:is>
          <x:t xml:space="preserve">HealthDrainPercent</x:t>
        </x:is>
      </x:c>
      <x:c r="H23" t="inlineStr">
        <x:is>
          <x:t xml:space="preserve">원거리 기본 공격은 CharacterCombatTuningConfig 기준</x:t>
        </x:is>
      </x:c>
      <x:c r="I23" t="inlineStr">
        <x:is>
          <x:t xml:space="preserve">23.0 (공격력 100%, 원거리 5.5m)</x:t>
        </x:is>
      </x:c>
      <x:c r="J23" t="inlineStr">
        <x:is>
          <x:t xml:space="preserve">적 현재 체력 20% 흡수/회복</x:t>
        </x:is>
      </x:c>
      <x:c r="K23" t="inlineStr">
        <x:is>
          <x:t xml:space="preserve">흡수량 성장</x:t>
        </x:is>
      </x:c>
    </x:row>
    <x:row r="24" ht="28" customHeight="1">
      <x:c r="A24" t="inlineStr">
        <x:is>
          <x:t xml:space="preserve">희귀</x:t>
        </x:is>
      </x:c>
      <x:c r="B24" t="inlineStr">
        <x:is>
          <x:t xml:space="preserve">hero_12</x:t>
        </x:is>
      </x:c>
      <x:c r="C24" t="inlineStr">
        <x:is>
          <x:t xml:space="preserve">Dice_Assassin</x:t>
        </x:is>
      </x:c>
      <x:c r="D24" t="inlineStr">
        <x:is>
          <x:t xml:space="preserve">강력한 일격</x:t>
        </x:is>
      </x:c>
      <x:c r="E24" t="inlineStr">
        <x:is>
          <x:t xml:space="preserve">300%</x:t>
        </x:is>
      </x:c>
      <x:c r="F24" t="inlineStr">
        <x:is>
          <x:t xml:space="preserve">피해량</x:t>
        </x:is>
      </x:c>
      <x:c r="G24" t="inlineStr">
        <x:is>
          <x:t xml:space="preserve">DirectDamage</x:t>
        </x:is>
      </x:c>
      <x:c r="H24" t="inlineStr">
        <x:is>
          <x:t xml:space="preserve">단일 대상 고피해</x:t>
        </x:is>
      </x:c>
      <x:c r="I24" t="inlineStr">
        <x:is>
          <x:t xml:space="preserve">24.0 (공격력 100%, 근거리 2m)</x:t>
        </x:is>
      </x:c>
      <x:c r="J24" t="inlineStr">
        <x:is>
          <x:t xml:space="preserve">72.0 (공격력 300%)</x:t>
        </x:is>
      </x:c>
      <x:c r="K24" t="inlineStr">
        <x:is>
          <x:t xml:space="preserve">피해량 성장</x:t>
        </x:is>
      </x:c>
    </x:row>
    <x:row r="25" ht="28" customHeight="1">
      <x:c r="A25" t="inlineStr">
        <x:is>
          <x:t xml:space="preserve">희귀</x:t>
        </x:is>
      </x:c>
      <x:c r="B25" t="inlineStr">
        <x:is>
          <x:t xml:space="preserve">hero_13</x:t>
        </x:is>
      </x:c>
      <x:c r="C25" t="inlineStr">
        <x:is>
          <x:t xml:space="preserve">Dice_Battery</x:t>
        </x:is>
      </x:c>
      <x:c r="D25" t="inlineStr">
        <x:is>
          <x:t xml:space="preserve">마나 링크</x:t>
        </x:is>
      </x:c>
      <x:c r="E25" t="inlineStr">
        <x:is>
          <x:t xml:space="preserve">30%</x:t>
        </x:is>
      </x:c>
      <x:c r="F25" t="inlineStr">
        <x:is>
          <x:t xml:space="preserve">마나 회복량</x:t>
        </x:is>
      </x:c>
      <x:c r="G25" t="inlineStr">
        <x:is>
          <x:t xml:space="preserve">ManaRestoreAdjacent</x:t>
        </x:is>
      </x:c>
      <x:c r="H25" t="inlineStr">
        <x:is>
          <x:t xml:space="preserve">배치 가치가 있는 지원형</x:t>
        </x:is>
      </x:c>
      <x:c r="I25" t="inlineStr">
        <x:is>
          <x:t xml:space="preserve">21.0 (공격력 100%, 원거리 5m)</x:t>
        </x:is>
      </x:c>
      <x:c r="J25" t="inlineStr">
        <x:is>
          <x:t xml:space="preserve">피해 없음 / 양옆 마나 30% 회복</x:t>
        </x:is>
      </x:c>
      <x:c r="K25" t="inlineStr">
        <x:is>
          <x:t xml:space="preserve">마나 회복량 성장</x:t>
        </x:is>
      </x:c>
    </x:row>
    <x:row r="26" ht="28" customHeight="1">
      <x:c r="A26" t="inlineStr">
        <x:is>
          <x:t xml:space="preserve">희귀</x:t>
        </x:is>
      </x:c>
      <x:c r="B26" t="inlineStr">
        <x:is>
          <x:t xml:space="preserve">hero_14</x:t>
        </x:is>
      </x:c>
      <x:c r="C26" t="inlineStr">
        <x:is>
          <x:t xml:space="preserve">Dice_Light</x:t>
        </x:is>
      </x:c>
      <x:c r="D26" t="inlineStr">
        <x:is>
          <x:t xml:space="preserve">가속의 빛</x:t>
        </x:is>
      </x:c>
      <x:c r="E26" t="inlineStr">
        <x:is>
          <x:t xml:space="preserve">30%, 5초</x:t>
        </x:is>
      </x:c>
      <x:c r="F26" t="inlineStr">
        <x:is>
          <x:t xml:space="preserve">공격속도 증가량</x:t>
        </x:is>
      </x:c>
      <x:c r="G26" t="inlineStr">
        <x:is>
          <x:t xml:space="preserve">AllyAttackSpeedBoost</x:t>
        </x:is>
      </x:c>
      <x:c r="H26" t="inlineStr">
        <x:is>
          <x:t xml:space="preserve">버프 받은 아군 아이콘/타이머 표시</x:t>
        </x:is>
      </x:c>
      <x:c r="I26" t="inlineStr">
        <x:is>
          <x:t xml:space="preserve">22.0 (공격력 100%, 근거리 3m)</x:t>
        </x:is>
      </x:c>
      <x:c r="J26" t="inlineStr">
        <x:is>
          <x:t xml:space="preserve">피해 없음 / 사거리 내 아군 5초 공속 +30%</x:t>
        </x:is>
      </x:c>
      <x:c r="K26" t="inlineStr">
        <x:is>
          <x:t xml:space="preserve">공속 증가량 성장</x:t>
        </x:is>
      </x:c>
    </x:row>
    <x:row r="27" ht="28" customHeight="1">
      <x:c r="A27" t="inlineStr">
        <x:is>
          <x:t xml:space="preserve">희귀</x:t>
        </x:is>
      </x:c>
      <x:c r="B27" t="inlineStr">
        <x:is>
          <x:t xml:space="preserve">hero_15</x:t>
        </x:is>
      </x:c>
    </x:row>
    <x:row r="28" ht="28" customHeight="1">
      <x:c r="A28" t="inlineStr">
        <x:is>
          <x:t xml:space="preserve">희귀</x:t>
        </x:is>
      </x:c>
      <x:c r="B28" t="inlineStr">
        <x:is>
          <x:t xml:space="preserve">hero_16</x:t>
        </x:is>
      </x:c>
    </x:row>
    <x:row r="29" ht="28" customHeight="1">
      <x:c r="A29" t="inlineStr">
        <x:is>
          <x:t xml:space="preserve">희귀</x:t>
        </x:is>
      </x:c>
      <x:c r="B29" t="inlineStr">
        <x:is>
          <x:t xml:space="preserve">hero_17</x:t>
        </x:is>
      </x:c>
    </x:row>
    <x:row r="30" ht="28" customHeight="1">
      <x:c r="A30" t="inlineStr">
        <x:is>
          <x:t xml:space="preserve">희귀</x:t>
        </x:is>
      </x:c>
      <x:c r="B30" t="inlineStr">
        <x:is>
          <x:t xml:space="preserve">hero_18</x:t>
        </x:is>
      </x:c>
    </x:row>
    <x:row r="31" ht="28" customHeight="1">
      <x:c r="A31" t="inlineStr">
        <x:is>
          <x:t xml:space="preserve">희귀</x:t>
        </x:is>
      </x:c>
      <x:c r="B31" t="inlineStr">
        <x:is>
          <x:t xml:space="preserve">hero_19</x:t>
        </x:is>
      </x:c>
    </x:row>
    <x:row r="32" ht="28" customHeight="1">
      <x:c r="A32" t="inlineStr">
        <x:is>
          <x:t xml:space="preserve">희귀</x:t>
        </x:is>
      </x:c>
      <x:c r="B32" t="inlineStr">
        <x:is>
          <x:t xml:space="preserve">hero_20</x:t>
        </x:is>
      </x:c>
    </x:row>
    <x:row r="33" ht="28" customHeight="1">
      <x:c r="A33" t="inlineStr">
        <x:is>
          <x:t xml:space="preserve">전설</x:t>
        </x:is>
      </x:c>
      <x:c r="B33" t="inlineStr">
        <x:is>
          <x:t xml:space="preserve">hero_21</x:t>
        </x:is>
      </x:c>
      <x:c r="C33" t="inlineStr">
        <x:is>
          <x:t xml:space="preserve">Dice_Summon</x:t>
        </x:is>
      </x:c>
      <x:c r="D33" t="inlineStr">
        <x:is>
          <x:t xml:space="preserve">미니미 소환</x:t>
        </x:is>
      </x:c>
      <x:c r="E33" t="inlineStr">
        <x:is>
          <x:t xml:space="preserve">20%</x:t>
        </x:is>
      </x:c>
      <x:c r="F33" t="inlineStr">
        <x:is>
          <x:t xml:space="preserve">소환체 체력, 소환체 공격력</x:t>
        </x:is>
      </x:c>
      <x:c r="G33" t="inlineStr">
        <x:is>
          <x:t xml:space="preserve">SummonRush</x:t>
        </x:is>
      </x:c>
      <x:c r="H33" t="inlineStr">
        <x:is>
          <x:t xml:space="preserve">소환체는 라운드 종료 시 제거</x:t>
        </x:is>
      </x:c>
      <x:c r="I33" t="inlineStr">
        <x:is>
          <x:t xml:space="preserve">25.7 (공격력 100%, 원거리 6m)</x:t>
        </x:is>
      </x:c>
      <x:c r="J33" t="inlineStr">
        <x:is>
          <x:t xml:space="preserve">소환체 공격력 5.1 / 체력 20%</x:t>
        </x:is>
      </x:c>
      <x:c r="K33" t="inlineStr">
        <x:is>
          <x:t xml:space="preserve">소환체 체력/공격력 성장</x:t>
        </x:is>
      </x:c>
    </x:row>
    <x:row r="34" ht="28" customHeight="1">
      <x:c r="A34" t="inlineStr">
        <x:is>
          <x:t xml:space="preserve">전설</x:t>
        </x:is>
      </x:c>
      <x:c r="B34" t="inlineStr">
        <x:is>
          <x:t xml:space="preserve">hero_22</x:t>
        </x:is>
      </x:c>
      <x:c r="C34" t="inlineStr">
        <x:is>
          <x:t xml:space="preserve">Dice_Thornshield</x:t>
        </x:is>
      </x:c>
      <x:c r="D34" t="inlineStr">
        <x:is>
          <x:t xml:space="preserve">쏜즈 오오라</x:t>
        </x:is>
      </x:c>
      <x:c r="E34" t="inlineStr">
        <x:is>
          <x:t xml:space="preserve">120%</x:t>
        </x:is>
      </x:c>
      <x:c r="F34" t="inlineStr">
        <x:is>
          <x:t xml:space="preserve">반사량</x:t>
        </x:is>
      </x:c>
      <x:c r="G34" t="inlineStr">
        <x:is>
          <x:t xml:space="preserve">ThornsAura</x:t>
        </x:is>
      </x:c>
      <x:c r="H34" t="inlineStr">
        <x:is>
          <x:t xml:space="preserve">오오라/반사 피드백 필요</x:t>
        </x:is>
      </x:c>
      <x:c r="I34" t="inlineStr">
        <x:is>
          <x:t xml:space="preserve">30.8 (공격력 100%, 근거리 3m)</x:t>
        </x:is>
      </x:c>
      <x:c r="J34" t="inlineStr">
        <x:is>
          <x:t xml:space="preserve">직접 피해 없음 / 받은 피해 120% 반사</x:t>
        </x:is>
      </x:c>
      <x:c r="K34" t="inlineStr">
        <x:is>
          <x:t xml:space="preserve">반사량 성장</x:t>
        </x:is>
      </x:c>
    </x:row>
    <x:row r="35" ht="28" customHeight="1">
      <x:c r="A35" t="inlineStr">
        <x:is>
          <x:t xml:space="preserve">전설</x:t>
        </x:is>
      </x:c>
      <x:c r="B35" t="inlineStr">
        <x:is>
          <x:t xml:space="preserve">hero_23</x:t>
        </x:is>
      </x:c>
      <x:c r="C35" t="inlineStr">
        <x:is>
          <x:t xml:space="preserve">Dice_Wolf_T</x:t>
        </x:is>
      </x:c>
      <x:c r="D35" t="inlineStr">
        <x:is>
          <x:t xml:space="preserve">파워 스트라이크</x:t>
        </x:is>
      </x:c>
      <x:c r="E35" t="inlineStr">
        <x:is>
          <x:t xml:space="preserve">300%</x:t>
        </x:is>
      </x:c>
      <x:c r="F35" t="inlineStr">
        <x:is>
          <x:t xml:space="preserve">피해량</x:t>
        </x:is>
      </x:c>
      <x:c r="G35" t="inlineStr">
        <x:is>
          <x:t xml:space="preserve">DirectDamage</x:t>
        </x:is>
      </x:c>
      <x:c r="H35" t="inlineStr">
        <x:is>
          <x:t xml:space="preserve">기본 고피해 스킬</x:t>
        </x:is>
      </x:c>
      <x:c r="I35" t="inlineStr">
        <x:is>
          <x:t xml:space="preserve">29.0 (공격력 100%, 근거리 4m)</x:t>
        </x:is>
      </x:c>
      <x:c r="J35" t="inlineStr">
        <x:is>
          <x:t xml:space="preserve">87.0 (공격력 300%)</x:t>
        </x:is>
      </x:c>
      <x:c r="K35" t="inlineStr">
        <x:is>
          <x:t xml:space="preserve">피해량 성장</x:t>
        </x:is>
      </x:c>
    </x:row>
    <x:row r="36" ht="28" customHeight="1">
      <x:c r="A36" t="inlineStr">
        <x:is>
          <x:t xml:space="preserve">전설</x:t>
        </x:is>
      </x:c>
      <x:c r="B36" t="inlineStr">
        <x:is>
          <x:t xml:space="preserve">hero_24</x:t>
        </x:is>
      </x:c>
    </x:row>
    <x:row r="37" ht="28" customHeight="1">
      <x:c r="A37" t="inlineStr">
        <x:is>
          <x:t xml:space="preserve">전설</x:t>
        </x:is>
      </x:c>
      <x:c r="B37" t="inlineStr">
        <x:is>
          <x:t xml:space="preserve">hero_25</x:t>
        </x:is>
      </x:c>
    </x:row>
    <x:row r="38" ht="28" customHeight="1">
      <x:c r="A38" t="inlineStr">
        <x:is>
          <x:t xml:space="preserve">전설</x:t>
        </x:is>
      </x:c>
      <x:c r="B38" t="inlineStr">
        <x:is>
          <x:t xml:space="preserve">hero_26</x:t>
        </x:is>
      </x:c>
    </x:row>
    <x:row r="39" ht="28" customHeight="1">
      <x:c r="A39" t="inlineStr">
        <x:is>
          <x:t xml:space="preserve">전설</x:t>
        </x:is>
      </x:c>
      <x:c r="B39" t="inlineStr">
        <x:is>
          <x:t xml:space="preserve">hero_27</x:t>
        </x:is>
      </x:c>
    </x:row>
    <x:row r="40" ht="28" customHeight="1">
      <x:c r="A40" t="inlineStr">
        <x:is>
          <x:t xml:space="preserve">전설</x:t>
        </x:is>
      </x:c>
      <x:c r="B40" t="inlineStr">
        <x:is>
          <x:t xml:space="preserve">hero_28</x:t>
        </x:is>
      </x:c>
    </x:row>
    <x:row r="41" ht="28" customHeight="1">
      <x:c r="A41" t="inlineStr">
        <x:is>
          <x:t xml:space="preserve">전설</x:t>
        </x:is>
      </x:c>
      <x:c r="B41" t="inlineStr">
        <x:is>
          <x:t xml:space="preserve">hero_29</x:t>
        </x:is>
      </x:c>
    </x:row>
    <x:row r="42" ht="28" customHeight="1">
      <x:c r="A42" t="inlineStr">
        <x:is>
          <x:t xml:space="preserve">전설</x:t>
        </x:is>
      </x:c>
      <x:c r="B42" t="inlineStr">
        <x:is>
          <x:t xml:space="preserve">hero_30</x:t>
        </x:is>
      </x:c>
    </x:row>
    <x:row r="43" ht="28" customHeight="1">
      <x:c r="A43" t="inlineStr">
        <x:is>
          <x:t xml:space="preserve">신화</x:t>
        </x:is>
      </x:c>
      <x:c r="B43" t="inlineStr">
        <x:is>
          <x:t xml:space="preserve">hero_31</x:t>
        </x:is>
      </x:c>
      <x:c r="C43" t="inlineStr">
        <x:is>
          <x:t xml:space="preserve">Dice_Combat</x:t>
        </x:is>
      </x:c>
      <x:c r="D43" t="inlineStr">
        <x:is>
          <x:t xml:space="preserve">충격 강타</x:t>
        </x:is>
      </x:c>
      <x:c r="E43" t="inlineStr">
        <x:is>
          <x:t xml:space="preserve">150%, 3초</x:t>
        </x:is>
      </x:c>
      <x:c r="F43" t="inlineStr">
        <x:is>
          <x:t xml:space="preserve">피해량</x:t>
        </x:is>
      </x:c>
      <x:c r="G43" t="inlineStr">
        <x:is>
          <x:t xml:space="preserve">DamageStun</x:t>
        </x:is>
      </x:c>
      <x:c r="H43" t="inlineStr">
        <x:is>
          <x:t xml:space="preserve">스턴 시간은 현재 고정 기준</x:t>
        </x:is>
      </x:c>
      <x:c r="I43" t="inlineStr">
        <x:is>
          <x:t xml:space="preserve">38.5 (공격력 100%, 근거리 3m)</x:t>
        </x:is>
      </x:c>
      <x:c r="J43" t="inlineStr">
        <x:is>
          <x:t xml:space="preserve">57.8 (공격력 150%) + 3초 스턴</x:t>
        </x:is>
      </x:c>
      <x:c r="K43" t="inlineStr">
        <x:is>
          <x:t xml:space="preserve">피해량 성장</x:t>
        </x:is>
      </x:c>
    </x:row>
    <x:row r="44" ht="28" customHeight="1">
      <x:c r="A44" t="inlineStr">
        <x:is>
          <x:t xml:space="preserve">신화</x:t>
        </x:is>
      </x:c>
      <x:c r="B44" t="inlineStr">
        <x:is>
          <x:t xml:space="preserve">hero_32</x:t>
        </x:is>
      </x:c>
      <x:c r="C44" t="inlineStr">
        <x:is>
          <x:t xml:space="preserve">Dice_Wolf</x:t>
        </x:is>
      </x:c>
      <x:c r="D44" t="inlineStr">
        <x:is>
          <x:t xml:space="preserve">코드 동기화 완료</x:t>
        </x:is>
      </x:c>
      <x:c r="E44" t="inlineStr">
        <x:is>
          <x:t xml:space="preserve">-</x:t>
        </x:is>
      </x:c>
      <x:c r="F44" t="inlineStr">
        <x:is>
          <x:t xml:space="preserve">추후 지정</x:t>
        </x:is>
      </x:c>
      <x:c r="G44" t="inlineStr">
        <x:is>
          <x:t xml:space="preserve">Pending</x:t>
        </x:is>
      </x:c>
      <x:c r="H44" t="inlineStr">
        <x:is>
          <x:t xml:space="preserve">기획 확정 필요</x:t>
        </x:is>
      </x:c>
      <x:c r="I44" t="inlineStr">
        <x:is>
          <x:t xml:space="preserve">36.0 (공격력 100%, 원거리 6m)</x:t>
        </x:is>
      </x:c>
      <x:c r="J44" t="inlineStr">
        <x:is>
          <x:t xml:space="preserve">코드 동기화 완료</x:t>
        </x:is>
      </x:c>
      <x:c r="K44" t="inlineStr">
        <x:is>
          <x:t xml:space="preserve">스킬 확정 필요</x:t>
        </x:is>
      </x:c>
    </x:row>
    <x:row r="45" ht="28" customHeight="1">
      <x:c r="A45" t="inlineStr">
        <x:is>
          <x:t xml:space="preserve">신화</x:t>
        </x:is>
      </x:c>
      <x:c r="B45" t="inlineStr">
        <x:is>
          <x:t xml:space="preserve">hero_33</x:t>
        </x:is>
      </x:c>
      <x:c r="C45" t="inlineStr">
        <x:is>
          <x:t xml:space="preserve">Dice_Infection</x:t>
        </x:is>
      </x:c>
      <x:c r="D45" t="inlineStr">
        <x:is>
          <x:t xml:space="preserve">최후의 맹독</x:t>
        </x:is>
      </x:c>
      <x:c r="E45" t="inlineStr">
        <x:is>
          <x:t xml:space="preserve">80 DPS, 10초</x:t>
        </x:is>
      </x:c>
      <x:c r="F45" t="inlineStr">
        <x:is>
          <x:t xml:space="preserve">초당 피해</x:t>
        </x:is>
      </x:c>
      <x:c r="G45" t="inlineStr">
        <x:is>
          <x:t xml:space="preserve">DeathPoisonField</x:t>
        </x:is>
      </x:c>
      <x:c r="H45" t="inlineStr">
        <x:is>
          <x:t xml:space="preserve">자폭 죽음장판 피드백 핵심</x:t>
        </x:is>
      </x:c>
      <x:c r="I45" t="inlineStr">
        <x:is>
          <x:t xml:space="preserve">36.3 (공격력 100%, 근거리 2.4m)</x:t>
        </x:is>
      </x:c>
      <x:c r="J45" t="inlineStr">
        <x:is>
          <x:t xml:space="preserve">고정 80 DPS x 10초 = 총 800</x:t>
        </x:is>
      </x:c>
      <x:c r="K45" t="inlineStr">
        <x:is>
          <x:t xml:space="preserve">초당 피해 성장</x:t>
        </x:is>
      </x:c>
    </x:row>
    <x:row r="46" ht="28" customHeight="1">
      <x:c r="A46" t="inlineStr">
        <x:is>
          <x:t xml:space="preserve">신화</x:t>
        </x:is>
      </x:c>
      <x:c r="B46" t="inlineStr">
        <x:is>
          <x:t xml:space="preserve">hero_34</x:t>
        </x:is>
      </x:c>
    </x:row>
    <x:row r="47" ht="28" customHeight="1">
      <x:c r="A47" t="inlineStr">
        <x:is>
          <x:t xml:space="preserve">신화</x:t>
        </x:is>
      </x:c>
      <x:c r="B47" t="inlineStr">
        <x:is>
          <x:t xml:space="preserve">hero_35</x:t>
        </x:is>
      </x:c>
    </x:row>
    <x:row r="48" ht="28" customHeight="1">
      <x:c r="A48" t="inlineStr">
        <x:is>
          <x:t xml:space="preserve">신화</x:t>
        </x:is>
      </x:c>
      <x:c r="B48" t="inlineStr">
        <x:is>
          <x:t xml:space="preserve">hero_36</x:t>
        </x:is>
      </x:c>
    </x:row>
    <x:row r="49" ht="28" customHeight="1">
      <x:c r="A49" t="inlineStr">
        <x:is>
          <x:t xml:space="preserve">신화</x:t>
        </x:is>
      </x:c>
      <x:c r="B49" t="inlineStr">
        <x:is>
          <x:t xml:space="preserve">hero_37</x:t>
        </x:is>
      </x:c>
    </x:row>
    <x:row r="50" ht="28" customHeight="1">
      <x:c r="A50" t="inlineStr">
        <x:is>
          <x:t xml:space="preserve">신화</x:t>
        </x:is>
      </x:c>
      <x:c r="B50" t="inlineStr">
        <x:is>
          <x:t xml:space="preserve">hero_38</x:t>
        </x:is>
      </x:c>
    </x:row>
    <x:row r="51" ht="28" customHeight="1">
      <x:c r="A51" t="inlineStr">
        <x:is>
          <x:t xml:space="preserve">신화</x:t>
        </x:is>
      </x:c>
      <x:c r="B51" t="inlineStr">
        <x:is>
          <x:t xml:space="preserve">hero_39</x:t>
        </x:is>
      </x:c>
    </x:row>
    <x:row r="52" ht="28" customHeight="1">
      <x:c r="A52" t="inlineStr">
        <x:is>
          <x:t xml:space="preserve">신화</x:t>
        </x:is>
      </x:c>
      <x:c r="B52" t="inlineStr">
        <x:is>
          <x:t xml:space="preserve">hero_40</x:t>
        </x:is>
      </x:c>
    </x:row>
    <x:row r="53" ht="28" customHeight="1">
      <x:c r="A53" t="inlineStr">
        <x:is>
          <x:t xml:space="preserve">신화</x:t>
        </x:is>
      </x:c>
      <x:c r="B53" t="inlineStr">
        <x:is>
          <x:t xml:space="preserve">hero_41</x:t>
        </x:is>
      </x:c>
    </x:row>
    <x:row r="54" ht="28" customHeight="1">
      <x:c r="A54" t="inlineStr">
        <x:is>
          <x:t xml:space="preserve">신화</x:t>
        </x:is>
      </x:c>
      <x:c r="B54" t="inlineStr">
        <x:is>
          <x:t xml:space="preserve">hero_42</x:t>
        </x:is>
      </x:c>
    </x:row>
    <x:row r="55" ht="28" customHeight="1">
      <x:c r="A55" t="inlineStr">
        <x:is>
          <x:t xml:space="preserve">신화</x:t>
        </x:is>
      </x:c>
      <x:c r="B55" t="inlineStr">
        <x:is>
          <x:t xml:space="preserve">hero_43</x:t>
        </x:is>
      </x:c>
    </x:row>
    <x:row r="56" ht="28" customHeight="1">
      <x:c r="A56" t="inlineStr">
        <x:is>
          <x:t xml:space="preserve">신화</x:t>
        </x:is>
      </x:c>
      <x:c r="B56" t="inlineStr">
        <x:is>
          <x:t xml:space="preserve">hero_44</x:t>
        </x:is>
      </x:c>
    </x:row>
    <x:row r="57" ht="28" customHeight="1">
      <x:c r="A57" t="inlineStr">
        <x:is>
          <x:t xml:space="preserve">신화</x:t>
        </x:is>
      </x:c>
      <x:c r="B57" t="inlineStr">
        <x:is>
          <x:t xml:space="preserve">hero_45</x:t>
        </x:is>
      </x:c>
    </x:row>
    <x:row r="58" ht="28" customHeight="1">
      <x:c r="A58" t="inlineStr">
        <x:is>
          <x:t xml:space="preserve">신화</x:t>
        </x:is>
      </x:c>
      <x:c r="B58" t="inlineStr">
        <x:is>
          <x:t xml:space="preserve">hero_46</x:t>
        </x:is>
      </x:c>
    </x:row>
    <x:row r="59" ht="28" customHeight="1">
      <x:c r="A59" t="inlineStr">
        <x:is>
          <x:t xml:space="preserve">신화</x:t>
        </x:is>
      </x:c>
      <x:c r="B59" t="inlineStr">
        <x:is>
          <x:t xml:space="preserve">hero_47</x:t>
        </x:is>
      </x:c>
    </x:row>
    <x:row r="60" ht="28" customHeight="1">
      <x:c r="A60" t="inlineStr">
        <x:is>
          <x:t xml:space="preserve">신화</x:t>
        </x:is>
      </x:c>
      <x:c r="B60" t="inlineStr">
        <x:is>
          <x:t xml:space="preserve">hero_48</x:t>
        </x:is>
      </x:c>
    </x:row>
    <x:row r="61" ht="28" customHeight="1">
      <x:c r="A61" t="inlineStr">
        <x:is>
          <x:t xml:space="preserve">신화</x:t>
        </x:is>
      </x:c>
      <x:c r="B61" t="inlineStr">
        <x:is>
          <x:t xml:space="preserve">hero_49</x:t>
        </x:is>
      </x:c>
    </x:row>
    <x:row r="62" ht="28" customHeight="1">
      <x:c r="A62" t="inlineStr">
        <x:is>
          <x:t xml:space="preserve">신화</x:t>
        </x:is>
      </x:c>
      <x:c r="B62" t="inlineStr">
        <x:is>
          <x:t xml:space="preserve">hero_50</x:t>
        </x:is>
      </x:c>
    </x:row>
    <x:row r="63" ht="28" customHeight="1">
      <x:c r="A63" t="inlineStr">
        <x:is>
          <x:t xml:space="preserve">초월</x:t>
        </x:is>
      </x:c>
      <x:c r="B63" t="inlineStr">
        <x:is>
          <x:t xml:space="preserve">hero_51</x:t>
        </x:is>
      </x:c>
      <x:c r="C63" t="inlineStr">
        <x:is>
          <x:t xml:space="preserve">Dice_Lightning</x:t>
        </x:is>
      </x:c>
      <x:c r="D63" t="inlineStr">
        <x:is>
          <x:t xml:space="preserve">감전 일격</x:t>
        </x:is>
      </x:c>
      <x:c r="E63" t="inlineStr">
        <x:is>
          <x:t xml:space="preserve">3초</x:t>
        </x:is>
      </x:c>
      <x:c r="F63" t="inlineStr">
        <x:is>
          <x:t xml:space="preserve">스턴 시간</x:t>
        </x:is>
      </x:c>
      <x:c r="G63" t="inlineStr">
        <x:is>
          <x:t xml:space="preserve">DamageStun</x:t>
        </x:is>
      </x:c>
      <x:c r="H63" t="inlineStr">
        <x:is>
          <x:t xml:space="preserve">전기/스턴 FX 권장</x:t>
        </x:is>
      </x:c>
      <x:c r="I63" t="inlineStr">
        <x:is>
          <x:t xml:space="preserve">41.0 (공격력 100%, 원거리 8m)</x:t>
        </x:is>
      </x:c>
      <x:c r="J63" t="inlineStr">
        <x:is>
          <x:t xml:space="preserve">123.0 (공격력 300%) + 3초 스턴</x:t>
        </x:is>
      </x:c>
      <x:c r="K63" t="inlineStr">
        <x:is>
          <x:t xml:space="preserve">스턴 시간 성장, 피해 300% 고정 기준</x:t>
        </x:is>
      </x:c>
    </x:row>
    <x:row r="64" ht="28" customHeight="1">
      <x:c r="A64" t="inlineStr">
        <x:is>
          <x:t xml:space="preserve">초월</x:t>
        </x:is>
      </x:c>
      <x:c r="B64" t="inlineStr">
        <x:is>
          <x:t xml:space="preserve">hero_52</x:t>
        </x:is>
      </x:c>
      <x:c r="C64" t="inlineStr">
        <x:is>
          <x:t xml:space="preserve">Dice_Meteor</x:t>
        </x:is>
      </x:c>
      <x:c r="D64" t="inlineStr">
        <x:is>
          <x:t xml:space="preserve">용암 구체</x:t>
        </x:is>
      </x:c>
      <x:c r="E64" t="inlineStr">
        <x:is>
          <x:t xml:space="preserve">30 DPS, 5초</x:t>
        </x:is>
      </x:c>
      <x:c r="F64" t="inlineStr">
        <x:is>
          <x:t xml:space="preserve">장판 초당 피해</x:t>
        </x:is>
      </x:c>
      <x:c r="G64" t="inlineStr">
        <x:is>
          <x:t xml:space="preserve">DamageGroundField</x:t>
        </x:is>
      </x:c>
      <x:c r="H64" t="inlineStr">
        <x:is>
          <x:t xml:space="preserve">장판 경계와 지속시간 표시 필요</x:t>
        </x:is>
      </x:c>
      <x:c r="I64" t="inlineStr">
        <x:is>
          <x:t xml:space="preserve">52.5 (공격력 100%, 원거리 8m)</x:t>
        </x:is>
      </x:c>
      <x:c r="J64" t="inlineStr">
        <x:is>
          <x:t xml:space="preserve">157.5 (공격력 300%) + 용암 30 DPS x 5초</x:t>
        </x:is>
      </x:c>
      <x:c r="K64" t="inlineStr">
        <x:is>
          <x:t xml:space="preserve">장판 초당 피해 성장</x:t>
        </x:is>
      </x:c>
    </x:row>
    <x:row r="65" ht="28" customHeight="1">
      <x:c r="A65" t="inlineStr">
        <x:is>
          <x:t xml:space="preserve">초월</x:t>
        </x:is>
      </x:c>
      <x:c r="B65" t="inlineStr">
        <x:is>
          <x:t xml:space="preserve">hero_53</x:t>
        </x:is>
      </x:c>
      <x:c r="C65" t="inlineStr">
        <x:is>
          <x:t xml:space="preserve">Dice_Minigun</x:t>
        </x:is>
      </x:c>
      <x:c r="D65" t="inlineStr">
        <x:is>
          <x:t xml:space="preserve">전투 가속</x:t>
        </x:is>
      </x:c>
      <x:c r="E65" t="inlineStr">
        <x:is>
          <x:t xml:space="preserve">8초</x:t>
        </x:is>
      </x:c>
      <x:c r="F65" t="inlineStr">
        <x:is>
          <x:t xml:space="preserve">지속 시간</x:t>
        </x:is>
      </x:c>
      <x:c r="G65" t="inlineStr">
        <x:is>
          <x:t xml:space="preserve">AttackSpeedBoost</x:t>
        </x:is>
      </x:c>
      <x:c r="H65" t="inlineStr">
        <x:is>
          <x:t xml:space="preserve">자기 버프 아이콘/타이머 표시</x:t>
        </x:is>
      </x:c>
      <x:c r="I65" t="inlineStr">
        <x:is>
          <x:t xml:space="preserve">39.0 (공격력 100%, 원거리 6m)</x:t>
        </x:is>
      </x:c>
      <x:c r="J65" t="inlineStr">
        <x:is>
          <x:t xml:space="preserve">피해 없음 / 8초 공속 +50%</x:t>
        </x:is>
      </x:c>
      <x:c r="K65" t="inlineStr">
        <x:is>
          <x:t xml:space="preserve">지속 시간 성장</x:t>
        </x:is>
      </x:c>
    </x:row>
    <x:row r="66" ht="28" customHeight="1">
      <x:c r="A66" t="inlineStr">
        <x:is>
          <x:t xml:space="preserve">초월</x:t>
        </x:is>
      </x:c>
      <x:c r="B66" t="inlineStr">
        <x:is>
          <x:t xml:space="preserve">hero_54</x:t>
        </x:is>
      </x:c>
      <x:c r="C66" t="inlineStr">
        <x:is>
          <x:t xml:space="preserve">Dice_Gargoyle</x:t>
        </x:is>
      </x:c>
      <x:c r="D66" t="inlineStr">
        <x:is>
          <x:t xml:space="preserve">수호 도발</x:t>
        </x:is>
      </x:c>
      <x:c r="E66" t="inlineStr">
        <x:is>
          <x:t xml:space="preserve">50%, 5초, 3m</x:t>
        </x:is>
      </x:c>
      <x:c r="F66" t="inlineStr">
        <x:is>
          <x:t xml:space="preserve">피해 감소율</x:t>
        </x:is>
      </x:c>
      <x:c r="G66" t="inlineStr">
        <x:is>
          <x:t xml:space="preserve">Taunt</x:t>
        </x:is>
      </x:c>
      <x:c r="H66" t="inlineStr">
        <x:is>
          <x:t xml:space="preserve">탱커, 도발 대상 표시 필요</x:t>
        </x:is>
      </x:c>
      <x:c r="I66" t="inlineStr">
        <x:is>
          <x:t xml:space="preserve">44.0 (공격력 100%, 근거리 4m)</x:t>
        </x:is>
      </x:c>
      <x:c r="J66" t="inlineStr">
        <x:is>
          <x:t xml:space="preserve">피해 없음 / 3m 5초 도발 + 받피해 50% 감소</x:t>
        </x:is>
      </x:c>
      <x:c r="K66" t="inlineStr">
        <x:is>
          <x:t xml:space="preserve">피해 감소율 성장</x:t>
        </x:is>
      </x:c>
    </x:row>
    <x:row r="67" ht="54" customHeight="1">
      <x:c r="A67" t="inlineStr">
        <x:is>
          <x:t xml:space="preserve">초월</x:t>
        </x:is>
      </x:c>
      <x:c r="B67" t="inlineStr">
        <x:is>
          <x:t xml:space="preserve">hero_55</x:t>
        </x:is>
      </x:c>
      <x:c r="C67" t="inlineStr">
        <x:is>
          <x:t xml:space="preserve">Dice_armor</x:t>
        </x:is>
      </x:c>
      <x:c r="D67" t="inlineStr">
        <x:is>
          <x:t xml:space="preserve">철벽 돌진</x:t>
        </x:is>
      </x:c>
      <x:c r="E67" t="inlineStr">
        <x:is>
          <x:t xml:space="preserve">150%, 10m, 5% 누적(최대 40%)</x:t>
        </x:is>
      </x:c>
      <x:c r="F67" t="inlineStr">
        <x:is>
          <x:t xml:space="preserve">피해량</x:t>
        </x:is>
      </x:c>
      <x:c r="G67" t="inlineStr">
        <x:is>
          <x:t xml:space="preserve">FrontKnockbackGuard</x:t>
        </x:is>
      </x:c>
      <x:c r="H67" t="inlineStr">
        <x:is>
          <x:t xml:space="preserve">전방 밀치기·방어 중첩 표시</x:t>
        </x:is>
      </x:c>
      <x:c r="I67" t="inlineStr">
        <x:is>
          <x:t xml:space="preserve">54.0 (공격력 100%, 근거리 2.8m)</x:t>
        </x:is>
      </x:c>
      <x:c r="J67" t="inlineStr">
        <x:is>
          <x:t xml:space="preserve">81.0 (공격력 150%) + 10m 밀치기</x:t>
        </x:is>
      </x:c>
      <x:c r="K67" t="inlineStr">
        <x:is>
          <x:t xml:space="preserve">받피해 5% 감소 누적, 최대 40%</x:t>
        </x:is>
      </x:c>
    </x:row>
    <x:row r="68" ht="54" customHeight="1">
      <x:c r="A68" t="inlineStr">
        <x:is>
          <x:t xml:space="preserve">초월</x:t>
        </x:is>
      </x:c>
      <x:c r="B68" t="inlineStr">
        <x:is>
          <x:t xml:space="preserve">hero_56</x:t>
        </x:is>
      </x:c>
      <x:c r="C68" t="inlineStr">
        <x:is>
          <x:t xml:space="preserve">dice_auto</x:t>
        </x:is>
      </x:c>
      <x:c r="D68" t="inlineStr">
        <x:is>
          <x:t xml:space="preserve">격라운드 폭격</x:t>
        </x:is>
      </x:c>
      <x:c r="E68" t="inlineStr">
        <x:is>
          <x:t xml:space="preserve">420%, 4.5m</x:t>
        </x:is>
      </x:c>
      <x:c r="F68" t="inlineStr">
        <x:is>
          <x:t xml:space="preserve">피해량</x:t>
        </x:is>
      </x:c>
      <x:c r="G68" t="inlineStr">
        <x:is>
          <x:t xml:space="preserve">AreaDamage</x:t>
        </x:is>
      </x:c>
      <x:c r="H68" t="inlineStr">
        <x:is>
          <x:t xml:space="preserve">기동·휴식 라운드 상태 표시</x:t>
        </x:is>
      </x:c>
      <x:c r="I68" t="inlineStr">
        <x:is>
          <x:t xml:space="preserve">82.0 (공격력 100%, 원거리 9.5m)</x:t>
        </x:is>
      </x:c>
      <x:c r="J68" t="inlineStr">
        <x:is>
          <x:t xml:space="preserve">344.4 (공격력 420%, 4.5m 광역)</x:t>
        </x:is>
      </x:c>
      <x:c r="K68" t="inlineStr">
        <x:is>
          <x:t xml:space="preserve">격라운드 기동 고정</x:t>
        </x:is>
      </x:c>
    </x:row>
    <x:row r="69" ht="54" customHeight="1">
      <x:c r="A69" t="inlineStr">
        <x:is>
          <x:t xml:space="preserve">초월</x:t>
        </x:is>
      </x:c>
      <x:c r="B69" t="inlineStr">
        <x:is>
          <x:t xml:space="preserve">hero_57</x:t>
        </x:is>
      </x:c>
      <x:c r="C69" t="inlineStr">
        <x:is>
          <x:t xml:space="preserve">Dice_Broken</x:t>
        </x:is>
      </x:c>
      <x:c r="D69" t="inlineStr">
        <x:is>
          <x:t xml:space="preserve">불규칙 난사</x:t>
        </x:is>
      </x:c>
      <x:c r="E69" t="inlineStr">
        <x:is>
          <x:t xml:space="preserve">120% × 5발</x:t>
        </x:is>
      </x:c>
      <x:c r="F69" t="inlineStr">
        <x:is>
          <x:t xml:space="preserve">피해량</x:t>
        </x:is>
      </x:c>
      <x:c r="G69" t="inlineStr">
        <x:is>
          <x:t xml:space="preserve">RandomMultiShot</x:t>
        </x:is>
      </x:c>
      <x:c r="H69" t="inlineStr">
        <x:is>
          <x:t xml:space="preserve">무작위 대상·중복 타격 표시</x:t>
        </x:is>
      </x:c>
      <x:c r="I69" t="inlineStr">
        <x:is>
          <x:t xml:space="preserve">64.0 (공격력 100%, 원거리 9m)</x:t>
        </x:is>
      </x:c>
      <x:c r="J69" t="inlineStr">
        <x:is>
          <x:t xml:space="preserve">76.8 × 5발 = 최대 384.0</x:t>
        </x:is>
      </x:c>
      <x:c r="K69" t="inlineStr">
        <x:is>
          <x:t xml:space="preserve">발당 피해 성장, 중복 대상 허용</x:t>
        </x:is>
      </x:c>
    </x:row>
    <x:row r="70" ht="28" customHeight="1">
      <x:c r="A70" t="inlineStr">
        <x:is>
          <x:t xml:space="preserve">초월</x:t>
        </x:is>
      </x:c>
      <x:c r="B70" t="inlineStr">
        <x:is>
          <x:t xml:space="preserve">hero_58</x:t>
        </x:is>
      </x:c>
    </x:row>
    <x:row r="71" ht="28" customHeight="1">
      <x:c r="A71" t="inlineStr">
        <x:is>
          <x:t xml:space="preserve">초월</x:t>
        </x:is>
      </x:c>
      <x:c r="B71" t="inlineStr">
        <x:is>
          <x:t xml:space="preserve">hero_59</x:t>
        </x:is>
      </x:c>
    </x:row>
    <x:row r="72" ht="28" customHeight="1">
      <x:c r="A72" t="inlineStr">
        <x:is>
          <x:t xml:space="preserve">초월</x:t>
        </x:is>
      </x:c>
      <x:c r="B72" t="inlineStr">
        <x:is>
          <x:t xml:space="preserve">hero_60</x:t>
        </x:is>
      </x:c>
    </x:row>
    <x:row r="73" ht="28" customHeight="1">
      <x:c r="A73" t="inlineStr">
        <x:is>
          <x:t xml:space="preserve">초월</x:t>
        </x:is>
      </x:c>
      <x:c r="B73" t="inlineStr">
        <x:is>
          <x:t xml:space="preserve">hero_61</x:t>
        </x:is>
      </x:c>
    </x:row>
    <x:row r="74" ht="28" customHeight="1">
      <x:c r="A74" t="inlineStr">
        <x:is>
          <x:t xml:space="preserve">초월</x:t>
        </x:is>
      </x:c>
      <x:c r="B74" t="inlineStr">
        <x:is>
          <x:t xml:space="preserve">hero_62</x:t>
        </x:is>
      </x:c>
    </x:row>
    <x:row r="75" ht="28" customHeight="1">
      <x:c r="A75" t="inlineStr">
        <x:is>
          <x:t xml:space="preserve">초월</x:t>
        </x:is>
      </x:c>
      <x:c r="B75" t="inlineStr">
        <x:is>
          <x:t xml:space="preserve">hero_63</x:t>
        </x:is>
      </x:c>
    </x:row>
    <x:row r="76" ht="28" customHeight="1">
      <x:c r="A76" t="inlineStr">
        <x:is>
          <x:t xml:space="preserve">초월</x:t>
        </x:is>
      </x:c>
      <x:c r="B76" t="inlineStr">
        <x:is>
          <x:t xml:space="preserve">hero_64</x:t>
        </x:is>
      </x:c>
    </x:row>
    <x:row r="77" ht="28" customHeight="1">
      <x:c r="A77" t="inlineStr">
        <x:is>
          <x:t xml:space="preserve">초월</x:t>
        </x:is>
      </x:c>
      <x:c r="B77" t="inlineStr">
        <x:is>
          <x:t xml:space="preserve">hero_65</x:t>
        </x:is>
      </x:c>
    </x:row>
    <x:row r="78" ht="28" customHeight="1">
      <x:c r="A78" t="inlineStr">
        <x:is>
          <x:t xml:space="preserve">초월</x:t>
        </x:is>
      </x:c>
      <x:c r="B78" t="inlineStr">
        <x:is>
          <x:t xml:space="preserve">hero_66</x:t>
        </x:is>
      </x:c>
    </x:row>
    <x:row r="79" ht="28" customHeight="1">
      <x:c r="A79" t="inlineStr">
        <x:is>
          <x:t xml:space="preserve">초월</x:t>
        </x:is>
      </x:c>
      <x:c r="B79" t="inlineStr">
        <x:is>
          <x:t xml:space="preserve">hero_67</x:t>
        </x:is>
      </x:c>
    </x:row>
    <x:row r="80" ht="28" customHeight="1">
      <x:c r="A80" t="inlineStr">
        <x:is>
          <x:t xml:space="preserve">초월</x:t>
        </x:is>
      </x:c>
      <x:c r="B80" t="inlineStr">
        <x:is>
          <x:t xml:space="preserve">hero_68</x:t>
        </x:is>
      </x:c>
    </x:row>
    <x:row r="81" ht="28" customHeight="1">
      <x:c r="A81" t="inlineStr">
        <x:is>
          <x:t xml:space="preserve">초월</x:t>
        </x:is>
      </x:c>
      <x:c r="B81" t="inlineStr">
        <x:is>
          <x:t xml:space="preserve">hero_69</x:t>
        </x:is>
      </x:c>
    </x:row>
    <x:row r="82" ht="28" customHeight="1">
      <x:c r="A82" t="inlineStr">
        <x:is>
          <x:t xml:space="preserve">초월</x:t>
        </x:is>
      </x:c>
      <x:c r="B82" t="inlineStr">
        <x:is>
          <x:t xml:space="preserve">hero_70</x:t>
        </x:is>
      </x:c>
    </x:row>
    <x:row r="83" ht="28" customHeight="1">
      <x:c r="A83" t="inlineStr">
        <x:is>
          <x:t xml:space="preserve">초월</x:t>
        </x:is>
      </x:c>
      <x:c r="B83" t="inlineStr">
        <x:is>
          <x:t xml:space="preserve">hero_71</x:t>
        </x:is>
      </x:c>
    </x:row>
    <x:row r="84" ht="28" customHeight="1">
      <x:c r="A84" t="inlineStr">
        <x:is>
          <x:t xml:space="preserve">초월</x:t>
        </x:is>
      </x:c>
      <x:c r="B84" t="inlineStr">
        <x:is>
          <x:t xml:space="preserve">hero_72</x:t>
        </x:is>
      </x:c>
    </x:row>
    <x:row r="85" ht="28" customHeight="1">
      <x:c r="A85" t="inlineStr">
        <x:is>
          <x:t xml:space="preserve">초월</x:t>
        </x:is>
      </x:c>
      <x:c r="B85" t="inlineStr">
        <x:is>
          <x:t xml:space="preserve">hero_73</x:t>
        </x:is>
      </x:c>
    </x:row>
    <x:row r="86" ht="28" customHeight="1">
      <x:c r="A86" t="inlineStr">
        <x:is>
          <x:t xml:space="preserve">초월</x:t>
        </x:is>
      </x:c>
      <x:c r="B86" t="inlineStr">
        <x:is>
          <x:t xml:space="preserve">hero_74</x:t>
        </x:is>
      </x:c>
    </x:row>
    <x:row r="87" ht="28" customHeight="1">
      <x:c r="A87" t="inlineStr">
        <x:is>
          <x:t xml:space="preserve">초월</x:t>
        </x:is>
      </x:c>
      <x:c r="B87" t="inlineStr">
        <x:is>
          <x:t xml:space="preserve">hero_75</x:t>
        </x:is>
      </x:c>
    </x:row>
    <x:row r="88" ht="28" customHeight="1">
      <x:c r="A88" t="inlineStr">
        <x:is>
          <x:t xml:space="preserve">초월</x:t>
        </x:is>
      </x:c>
      <x:c r="B88" t="inlineStr">
        <x:is>
          <x:t xml:space="preserve">hero_76</x:t>
        </x:is>
      </x:c>
    </x:row>
    <x:row r="89" ht="28" customHeight="1">
      <x:c r="A89" t="inlineStr">
        <x:is>
          <x:t xml:space="preserve">초월</x:t>
        </x:is>
      </x:c>
      <x:c r="B89" t="inlineStr">
        <x:is>
          <x:t xml:space="preserve">hero_77</x:t>
        </x:is>
      </x:c>
    </x:row>
    <x:row r="90" ht="28" customHeight="1">
      <x:c r="A90" t="inlineStr">
        <x:is>
          <x:t xml:space="preserve">초월</x:t>
        </x:is>
      </x:c>
      <x:c r="B90" t="inlineStr">
        <x:is>
          <x:t xml:space="preserve">hero_78</x:t>
        </x:is>
      </x:c>
    </x:row>
    <x:row r="91" ht="28" customHeight="1">
      <x:c r="A91" t="inlineStr">
        <x:is>
          <x:t xml:space="preserve">초월</x:t>
        </x:is>
      </x:c>
      <x:c r="B91" t="inlineStr">
        <x:is>
          <x:t xml:space="preserve">hero_79</x:t>
        </x:is>
      </x:c>
    </x:row>
    <x:row r="92" ht="28" customHeight="1">
      <x:c r="A92" t="inlineStr">
        <x:is>
          <x:t xml:space="preserve">초월</x:t>
        </x:is>
      </x:c>
      <x:c r="B92" t="inlineStr">
        <x:is>
          <x:t xml:space="preserve">hero_80</x:t>
        </x:is>
      </x:c>
    </x:row>
    <x:row r="93" ht="28" customHeight="1">
      <x:c r="A93" t="inlineStr">
        <x:is>
          <x:t xml:space="preserve">초월</x:t>
        </x:is>
      </x:c>
      <x:c r="B93" t="inlineStr">
        <x:is>
          <x:t xml:space="preserve">hero_81</x:t>
        </x:is>
      </x:c>
    </x:row>
    <x:row r="94" ht="28" customHeight="1">
      <x:c r="A94" t="inlineStr">
        <x:is>
          <x:t xml:space="preserve">초월</x:t>
        </x:is>
      </x:c>
      <x:c r="B94" t="inlineStr">
        <x:is>
          <x:t xml:space="preserve">hero_82</x:t>
        </x:is>
      </x:c>
    </x:row>
    <x:row r="95" ht="28" customHeight="1">
      <x:c r="A95" t="inlineStr">
        <x:is>
          <x:t xml:space="preserve">초월</x:t>
        </x:is>
      </x:c>
      <x:c r="B95" t="inlineStr">
        <x:is>
          <x:t xml:space="preserve">hero_83</x:t>
        </x:is>
      </x:c>
    </x:row>
    <x:row r="96" ht="28" customHeight="1">
      <x:c r="A96" t="inlineStr">
        <x:is>
          <x:t xml:space="preserve">초월</x:t>
        </x:is>
      </x:c>
      <x:c r="B96" t="inlineStr">
        <x:is>
          <x:t xml:space="preserve">hero_84</x:t>
        </x:is>
      </x:c>
    </x:row>
    <x:row r="97" ht="28" customHeight="1">
      <x:c r="A97" t="inlineStr">
        <x:is>
          <x:t xml:space="preserve">초월</x:t>
        </x:is>
      </x:c>
      <x:c r="B97" t="inlineStr">
        <x:is>
          <x:t xml:space="preserve">hero_85</x:t>
        </x:is>
      </x:c>
    </x:row>
    <x:row r="98" ht="28" customHeight="1">
      <x:c r="A98" t="inlineStr">
        <x:is>
          <x:t xml:space="preserve">초월</x:t>
        </x:is>
      </x:c>
      <x:c r="B98" t="inlineStr">
        <x:is>
          <x:t xml:space="preserve">hero_86</x:t>
        </x:is>
      </x:c>
    </x:row>
    <x:row r="99" ht="28" customHeight="1">
      <x:c r="A99" t="inlineStr">
        <x:is>
          <x:t xml:space="preserve">초월</x:t>
        </x:is>
      </x:c>
      <x:c r="B99" t="inlineStr">
        <x:is>
          <x:t xml:space="preserve">hero_87</x:t>
        </x:is>
      </x:c>
    </x:row>
    <x:row r="100" ht="28" customHeight="1">
      <x:c r="A100" t="inlineStr">
        <x:is>
          <x:t xml:space="preserve">초월</x:t>
        </x:is>
      </x:c>
      <x:c r="B100" t="inlineStr">
        <x:is>
          <x:t xml:space="preserve">hero_88</x:t>
        </x:is>
      </x:c>
    </x:row>
    <x:row r="101" ht="28" customHeight="1">
      <x:c r="A101" t="inlineStr">
        <x:is>
          <x:t xml:space="preserve">초월</x:t>
        </x:is>
      </x:c>
      <x:c r="B101" t="inlineStr">
        <x:is>
          <x:t xml:space="preserve">hero_89</x:t>
        </x:is>
      </x:c>
    </x:row>
    <x:row r="102" ht="28" customHeight="1">
      <x:c r="A102" t="inlineStr">
        <x:is>
          <x:t xml:space="preserve">초월</x:t>
        </x:is>
      </x:c>
      <x:c r="B102" t="inlineStr">
        <x:is>
          <x:t xml:space="preserve">hero_90</x:t>
        </x:is>
      </x:c>
    </x:row>
    <x:row r="103" ht="28" customHeight="1">
      <x:c r="A103" t="inlineStr">
        <x:is>
          <x:t xml:space="preserve">초월</x:t>
        </x:is>
      </x:c>
      <x:c r="B103" t="inlineStr">
        <x:is>
          <x:t xml:space="preserve">hero_91</x:t>
        </x:is>
      </x:c>
    </x:row>
    <x:row r="104" ht="28" customHeight="1">
      <x:c r="A104" t="inlineStr">
        <x:is>
          <x:t xml:space="preserve">초월</x:t>
        </x:is>
      </x:c>
      <x:c r="B104" t="inlineStr">
        <x:is>
          <x:t xml:space="preserve">hero_92</x:t>
        </x:is>
      </x:c>
    </x:row>
    <x:row r="105" ht="28" customHeight="1">
      <x:c r="A105" t="inlineStr">
        <x:is>
          <x:t xml:space="preserve">초월</x:t>
        </x:is>
      </x:c>
      <x:c r="B105" t="inlineStr">
        <x:is>
          <x:t xml:space="preserve">hero_93</x:t>
        </x:is>
      </x:c>
    </x:row>
    <x:row r="106" ht="28" customHeight="1">
      <x:c r="A106" t="inlineStr">
        <x:is>
          <x:t xml:space="preserve">초월</x:t>
        </x:is>
      </x:c>
      <x:c r="B106" t="inlineStr">
        <x:is>
          <x:t xml:space="preserve">hero_94</x:t>
        </x:is>
      </x:c>
    </x:row>
    <x:row r="107" ht="28" customHeight="1">
      <x:c r="A107" t="inlineStr">
        <x:is>
          <x:t xml:space="preserve">초월</x:t>
        </x:is>
      </x:c>
      <x:c r="B107" t="inlineStr">
        <x:is>
          <x:t xml:space="preserve">hero_95</x:t>
        </x:is>
      </x:c>
    </x:row>
    <x:row r="108" ht="28" customHeight="1">
      <x:c r="A108" t="inlineStr">
        <x:is>
          <x:t xml:space="preserve">초월</x:t>
        </x:is>
      </x:c>
      <x:c r="B108" t="inlineStr">
        <x:is>
          <x:t xml:space="preserve">hero_96</x:t>
        </x:is>
      </x:c>
    </x:row>
    <x:row r="109" ht="28" customHeight="1">
      <x:c r="A109" t="inlineStr">
        <x:is>
          <x:t xml:space="preserve">초월</x:t>
        </x:is>
      </x:c>
      <x:c r="B109" t="inlineStr">
        <x:is>
          <x:t xml:space="preserve">hero_97</x:t>
        </x:is>
      </x:c>
    </x:row>
    <x:row r="110" ht="28" customHeight="1">
      <x:c r="A110" t="inlineStr">
        <x:is>
          <x:t xml:space="preserve">초월</x:t>
        </x:is>
      </x:c>
      <x:c r="B110" t="inlineStr">
        <x:is>
          <x:t xml:space="preserve">hero_98</x:t>
        </x:is>
      </x:c>
    </x:row>
    <x:row r="111" ht="28" customHeight="1">
      <x:c r="A111" t="inlineStr">
        <x:is>
          <x:t xml:space="preserve">초월</x:t>
        </x:is>
      </x:c>
      <x:c r="B111" t="inlineStr">
        <x:is>
          <x:t xml:space="preserve">hero_99</x:t>
        </x:is>
      </x:c>
    </x:row>
    <x:row r="112" ht="28" customHeight="1">
      <x:c r="A112" t="inlineStr">
        <x:is>
          <x:t xml:space="preserve">초월</x:t>
        </x:is>
      </x:c>
      <x:c r="B112" t="inlineStr">
        <x:is>
          <x:t xml:space="preserve">hero_100</x:t>
        </x:is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9" customWidth="1"/>
    <x:col min="3" max="3" width="10" customWidth="1"/>
    <x:col min="4" max="4" width="10" customWidth="1"/>
    <x:col min="5" max="5" width="20" customWidth="1"/>
    <x:col min="6" max="6" width="52" customWidth="1"/>
  </x:cols>
  <x:sheetData>
    <x:row r="1" ht="25" customHeight="1">
      <x:c r="A1" s="52" t="inlineStr">
        <x:is>
          <x:t xml:space="preserve">HeroAugments_V1</x:t>
        </x:is>
      </x:c>
    </x:row>
    <x:row r="2" ht="34" customHeight="1">
      <x:c r="A2" s="53" t="inlineStr">
        <x:is>
          <x:t xml:space="preserve">유닛 전용 증강체 설명 최신 코드 동기화본입니다. 빈 설명 표시 없이 실제 이름/설명 기준으로 문서화했습니다.</x:t>
        </x:is>
      </x:c>
    </x:row>
    <x:row r="4">
      <x:c r="A4" s="54" t="inlineStr">
        <x:is>
          <x:t xml:space="preserve">Hero</x:t>
        </x:is>
      </x:c>
      <x:c r="B4" s="54" t="inlineStr">
        <x:is>
          <x:t xml:space="preserve">Augment ID</x:t>
        </x:is>
      </x:c>
      <x:c r="C4" s="54" t="inlineStr">
        <x:is>
          <x:t xml:space="preserve">Tier</x:t>
        </x:is>
      </x:c>
      <x:c r="D4" s="54" t="inlineStr">
        <x:is>
          <x:t xml:space="preserve">Tier KR</x:t>
        </x:is>
      </x:c>
      <x:c r="E4" s="54" t="inlineStr">
        <x:is>
          <x:t xml:space="preserve">이름</x:t>
        </x:is>
      </x:c>
      <x:c r="F4" s="54" t="inlineStr">
        <x:is>
          <x:t xml:space="preserve">설명</x:t>
        </x:is>
      </x:c>
    </x:row>
    <x:row r="5">
      <x:c r="A5" s="134" t="inlineStr">
        <x:is>
          <x:t xml:space="preserve">hero_01</x:t>
        </x:is>
      </x:c>
      <x:c r="B5" s="134" t="inlineStr">
        <x:is>
          <x:t xml:space="preserve">hero01_fire_field_n</x:t>
        </x:is>
      </x:c>
      <x:c r="C5" s="134" t="inlineStr">
        <x:is>
          <x:t xml:space="preserve">Normal</x:t>
        </x:is>
      </x:c>
      <x:c r="D5" s="134" t="inlineStr">
        <x:is>
          <x:t xml:space="preserve">일반</x:t>
        </x:is>
      </x:c>
      <x:c r="E5" s="134" t="inlineStr">
        <x:is>
          <x:t xml:space="preserve">불씨 잔영</x:t>
        </x:is>
      </x:c>
      <x:c r="F5" s="134" t="inlineStr">
        <x:is>
          <x:t xml:space="preserve">스킬 위치에 반경 2.4m 화염 장판을 3초 생성해 0.6초마다 공격력 35% 피해를 줍니다.</x:t>
        </x:is>
      </x:c>
    </x:row>
    <x:row r="6">
      <x:c r="A6" s="134" t="inlineStr">
        <x:is>
          <x:t xml:space="preserve">hero_01</x:t>
        </x:is>
      </x:c>
      <x:c r="B6" s="134" t="inlineStr">
        <x:is>
          <x:t xml:space="preserve">hero01_mana_refund_r</x:t>
        </x:is>
      </x:c>
      <x:c r="C6" s="134" t="inlineStr">
        <x:is>
          <x:t xml:space="preserve">Rare</x:t>
        </x:is>
      </x:c>
      <x:c r="D6" s="134" t="inlineStr">
        <x:is>
          <x:t xml:space="preserve">레어</x:t>
        </x:is>
      </x:c>
      <x:c r="E6" s="134" t="inlineStr">
        <x:is>
          <x:t xml:space="preserve">연소 환급</x:t>
        </x:is>
      </x:c>
      <x:c r="F6" s="134" t="inlineStr">
        <x:is>
          <x:t xml:space="preserve">스킬로 적을 처치하면 최대 마나의 50%를 즉시 회복합니다.</x:t>
        </x:is>
      </x:c>
    </x:row>
    <x:row r="7">
      <x:c r="A7" s="134" t="inlineStr">
        <x:is>
          <x:t xml:space="preserve">hero_01</x:t>
        </x:is>
      </x:c>
      <x:c r="B7" s="134" t="inlineStr">
        <x:is>
          <x:t xml:space="preserve">hero01_flame_pierce_m</x:t>
        </x:is>
      </x:c>
      <x:c r="C7" s="134" t="inlineStr">
        <x:is>
          <x:t xml:space="preserve">Mythic</x:t>
        </x:is>
      </x:c>
      <x:c r="D7" s="134" t="inlineStr">
        <x:is>
          <x:t xml:space="preserve">신화급</x:t>
        </x:is>
      </x:c>
      <x:c r="E7" s="134" t="inlineStr">
        <x:is>
          <x:t xml:space="preserve">화염 관통</x:t>
        </x:is>
      </x:c>
      <x:c r="F7" s="134" t="inlineStr">
        <x:is>
          <x:t xml:space="preserve">스킬 후 전방 5m에 공격력 105%의 추가 관통 피해를 줍니다.</x:t>
        </x:is>
      </x:c>
    </x:row>
    <x:row r="8">
      <x:c r="A8" s="134" t="inlineStr">
        <x:is>
          <x:t xml:space="preserve">hero_02</x:t>
        </x:is>
      </x:c>
      <x:c r="B8" s="134" t="inlineStr">
        <x:is>
          <x:t xml:space="preserve">hero02_battle_rx_n</x:t>
        </x:is>
      </x:c>
      <x:c r="C8" s="134" t="inlineStr">
        <x:is>
          <x:t xml:space="preserve">Normal</x:t>
        </x:is>
      </x:c>
      <x:c r="D8" s="134" t="inlineStr">
        <x:is>
          <x:t xml:space="preserve">일반</x:t>
        </x:is>
      </x:c>
      <x:c r="E8" s="134" t="inlineStr">
        <x:is>
          <x:t xml:space="preserve">전투 처방</x:t>
        </x:is>
      </x:c>
      <x:c r="F8" s="134" t="inlineStr">
        <x:is>
          <x:t xml:space="preserve">스킬 사용 시 체력이 낮은 아군 2명의 공격력 +10%, 공격속도 +8%가 4초 적용됩니다.</x:t>
        </x:is>
      </x:c>
    </x:row>
    <x:row r="9">
      <x:c r="A9" s="134" t="inlineStr">
        <x:is>
          <x:t xml:space="preserve">hero_02</x:t>
        </x:is>
      </x:c>
      <x:c r="B9" s="134" t="inlineStr">
        <x:is>
          <x:t xml:space="preserve">hero02_crit_heal_r</x:t>
        </x:is>
      </x:c>
      <x:c r="C9" s="134" t="inlineStr">
        <x:is>
          <x:t xml:space="preserve">Rare</x:t>
        </x:is>
      </x:c>
      <x:c r="D9" s="134" t="inlineStr">
        <x:is>
          <x:t xml:space="preserve">레어</x:t>
        </x:is>
      </x:c>
      <x:c r="E9" s="134" t="inlineStr">
        <x:is>
          <x:t xml:space="preserve">치유 치명타</x:t>
        </x:is>
      </x:c>
      <x:c r="F9" s="134" t="inlineStr">
        <x:is>
          <x:t xml:space="preserve">스킬 사용 시 35% 확률로 체력이 낮은 아군 2명을 14% 회복하고 4초 보호막 8%를 줍니다.</x:t>
        </x:is>
      </x:c>
    </x:row>
    <x:row r="10">
      <x:c r="A10" s="134" t="inlineStr">
        <x:is>
          <x:t xml:space="preserve">hero_02</x:t>
        </x:is>
      </x:c>
      <x:c r="B10" s="134" t="inlineStr">
        <x:is>
          <x:t xml:space="preserve">hero02_emergency_m</x:t>
        </x:is>
      </x:c>
      <x:c r="C10" s="134" t="inlineStr">
        <x:is>
          <x:t xml:space="preserve">Mythic</x:t>
        </x:is>
      </x:c>
      <x:c r="D10" s="134" t="inlineStr">
        <x:is>
          <x:t xml:space="preserve">신화급</x:t>
        </x:is>
      </x:c>
      <x:c r="E10" s="134" t="inlineStr">
        <x:is>
          <x:t xml:space="preserve">응급 프로토콜</x:t>
        </x:is>
      </x:c>
      <x:c r="F10" s="134" t="inlineStr">
        <x:is>
          <x:t xml:space="preserve">체력이 낮은 아군 3명을 18% 회복하고 보호막 12%, 공격력·공격속도 +16%, 마나 +8%를 줍니다.</x:t>
        </x:is>
      </x:c>
    </x:row>
    <x:row r="11">
      <x:c r="A11" s="134" t="inlineStr">
        <x:is>
          <x:t xml:space="preserve">hero_03</x:t>
        </x:is>
      </x:c>
      <x:c r="B11" s="134" t="inlineStr">
        <x:is>
          <x:t xml:space="preserve">hero03_freeze_n</x:t>
        </x:is>
      </x:c>
      <x:c r="C11" s="134" t="inlineStr">
        <x:is>
          <x:t xml:space="preserve">Normal</x:t>
        </x:is>
      </x:c>
      <x:c r="D11" s="134" t="inlineStr">
        <x:is>
          <x:t xml:space="preserve">일반</x:t>
        </x:is>
      </x:c>
      <x:c r="E11" s="134" t="inlineStr">
        <x:is>
          <x:t xml:space="preserve">급속 냉각</x:t>
        </x:is>
      </x:c>
      <x:c r="F11" s="134" t="inlineStr">
        <x:is>
          <x:t xml:space="preserve">스킬이 일반 적에게 적중하면 25% 확률로 1.15초 행동 불가로 만듭니다.</x:t>
        </x:is>
      </x:c>
    </x:row>
    <x:row r="12">
      <x:c r="A12" s="134" t="inlineStr">
        <x:is>
          <x:t xml:space="preserve">hero_03</x:t>
        </x:is>
      </x:c>
      <x:c r="B12" s="134" t="inlineStr">
        <x:is>
          <x:t xml:space="preserve">hero03_permafrost_r</x:t>
        </x:is>
      </x:c>
      <x:c r="C12" s="134" t="inlineStr">
        <x:is>
          <x:t xml:space="preserve">Rare</x:t>
        </x:is>
      </x:c>
      <x:c r="D12" s="134" t="inlineStr">
        <x:is>
          <x:t xml:space="preserve">레어</x:t>
        </x:is>
      </x:c>
      <x:c r="E12" s="134" t="inlineStr">
        <x:is>
          <x:t xml:space="preserve">영구 서리</x:t>
        </x:is>
      </x:c>
      <x:c r="F12" s="134" t="inlineStr">
        <x:is>
          <x:t xml:space="preserve">스킬이 일반 적에게 적중하면 20% 확률로 이동속도와 공격속도를 전투 종료까지 45% 낮춥니다.</x:t>
        </x:is>
      </x:c>
    </x:row>
    <x:row r="13">
      <x:c r="A13" s="134" t="inlineStr">
        <x:is>
          <x:t xml:space="preserve">hero_03</x:t>
        </x:is>
      </x:c>
      <x:c r="B13" s="134" t="inlineStr">
        <x:is>
          <x:t xml:space="preserve">hero03_shatter_m</x:t>
        </x:is>
      </x:c>
      <x:c r="C13" s="134" t="inlineStr">
        <x:is>
          <x:t xml:space="preserve">Mythic</x:t>
        </x:is>
      </x:c>
      <x:c r="D13" s="134" t="inlineStr">
        <x:is>
          <x:t xml:space="preserve">신화급</x:t>
        </x:is>
      </x:c>
      <x:c r="E13" s="134" t="inlineStr">
        <x:is>
          <x:t xml:space="preserve">빙결 파쇄</x:t>
        </x:is>
      </x:c>
      <x:c r="F13" s="134" t="inlineStr">
        <x:is>
          <x:t xml:space="preserve">일반 적을 1.2초 행동 불가로 만들고 종료 시 반경 2.8m에 공격력 95% 피해를 줍니다.</x:t>
        </x:is>
      </x:c>
    </x:row>
    <x:row r="14">
      <x:c r="A14" s="134" t="inlineStr">
        <x:is>
          <x:t xml:space="preserve">hero_04</x:t>
        </x:is>
      </x:c>
      <x:c r="B14" s="134" t="inlineStr">
        <x:is>
          <x:t xml:space="preserve">hero04_toxic_pool_n</x:t>
        </x:is>
      </x:c>
      <x:c r="C14" s="134" t="inlineStr">
        <x:is>
          <x:t xml:space="preserve">Normal</x:t>
        </x:is>
      </x:c>
      <x:c r="D14" s="134" t="inlineStr">
        <x:is>
          <x:t xml:space="preserve">일반</x:t>
        </x:is>
      </x:c>
      <x:c r="E14" s="134" t="inlineStr">
        <x:is>
          <x:t xml:space="preserve">독성 잔류</x:t>
        </x:is>
      </x:c>
      <x:c r="F14" s="134" t="inlineStr">
        <x:is>
          <x:t xml:space="preserve">스킬 위치에 반경 2.3m 독 장판을 3.5초 생성해 0.7초마다 공격력 28% 피해를 줍니다.</x:t>
        </x:is>
      </x:c>
    </x:row>
    <x:row r="15">
      <x:c r="A15" s="134" t="inlineStr">
        <x:is>
          <x:t xml:space="preserve">hero_04</x:t>
        </x:is>
      </x:c>
      <x:c r="B15" s="134" t="inlineStr">
        <x:is>
          <x:t xml:space="preserve">hero04_contagion_r</x:t>
        </x:is>
      </x:c>
      <x:c r="C15" s="134" t="inlineStr">
        <x:is>
          <x:t xml:space="preserve">Rare</x:t>
        </x:is>
      </x:c>
      <x:c r="D15" s="134" t="inlineStr">
        <x:is>
          <x:t xml:space="preserve">레어</x:t>
        </x:is>
      </x:c>
      <x:c r="E15" s="134" t="inlineStr">
        <x:is>
          <x:t xml:space="preserve">맹독 전염</x:t>
        </x:is>
      </x:c>
      <x:c r="F15" s="134" t="inlineStr">
        <x:is>
          <x:t xml:space="preserve">일반 적을 처치하면 가장 가까운 적에게 4.5초 동안 0.75초마다 공격력 42%의 독 피해를 줍니다.</x:t>
        </x:is>
      </x:c>
    </x:row>
    <x:row r="16">
      <x:c r="A16" s="134" t="inlineStr">
        <x:is>
          <x:t xml:space="preserve">hero_04</x:t>
        </x:is>
      </x:c>
      <x:c r="B16" s="134" t="inlineStr">
        <x:is>
          <x:t xml:space="preserve">hero04_plague_cloud_m</x:t>
        </x:is>
      </x:c>
      <x:c r="C16" s="134" t="inlineStr">
        <x:is>
          <x:t xml:space="preserve">Mythic</x:t>
        </x:is>
      </x:c>
      <x:c r="D16" s="134" t="inlineStr">
        <x:is>
          <x:t xml:space="preserve">신화급</x:t>
        </x:is>
      </x:c>
      <x:c r="E16" s="134" t="inlineStr">
        <x:is>
          <x:t xml:space="preserve">역병 구름</x:t>
        </x:is>
      </x:c>
      <x:c r="F16" s="134" t="inlineStr">
        <x:is>
          <x:t xml:space="preserve">스킬 위치 반경 3.1m의 적을 5초 중독시키고 이동속도를 3초 동안 28% 낮춥니다.</x:t>
        </x:is>
      </x:c>
    </x:row>
    <x:row r="17">
      <x:c r="A17" s="134" t="inlineStr">
        <x:is>
          <x:t xml:space="preserve">hero_05</x:t>
        </x:is>
      </x:c>
      <x:c r="B17" s="134" t="inlineStr">
        <x:is>
          <x:t xml:space="preserve">hero05_shield_bomb_n</x:t>
        </x:is>
      </x:c>
      <x:c r="C17" s="134" t="inlineStr">
        <x:is>
          <x:t xml:space="preserve">Normal</x:t>
        </x:is>
      </x:c>
      <x:c r="D17" s="134" t="inlineStr">
        <x:is>
          <x:t xml:space="preserve">일반</x:t>
        </x:is>
      </x:c>
      <x:c r="E17" s="134" t="inlineStr">
        <x:is>
          <x:t xml:space="preserve">방패 폭심</x:t>
        </x:is>
      </x:c>
      <x:c r="F17" s="134" t="inlineStr">
        <x:is>
          <x:t xml:space="preserve">아군 보호막이 파괴되면 반경 2.6m에 막은 피해의 80%만큼 피해를 줍니다.</x:t>
        </x:is>
      </x:c>
    </x:row>
    <x:row r="18">
      <x:c r="A18" s="134" t="inlineStr">
        <x:is>
          <x:t xml:space="preserve">hero_05</x:t>
        </x:is>
      </x:c>
      <x:c r="B18" s="134" t="inlineStr">
        <x:is>
          <x:t xml:space="preserve">hero05_reflect_r</x:t>
        </x:is>
      </x:c>
      <x:c r="C18" s="134" t="inlineStr">
        <x:is>
          <x:t xml:space="preserve">Rare</x:t>
        </x:is>
      </x:c>
      <x:c r="D18" s="134" t="inlineStr">
        <x:is>
          <x:t xml:space="preserve">레어</x:t>
        </x:is>
      </x:c>
      <x:c r="E18" s="134" t="inlineStr">
        <x:is>
          <x:t xml:space="preserve">수호 반사</x:t>
        </x:is>
      </x:c>
      <x:c r="F18" s="134" t="inlineStr">
        <x:is>
          <x:t xml:space="preserve">막은 피해 45% 반사</x:t>
        </x:is>
      </x:c>
    </x:row>
    <x:row r="19">
      <x:c r="A19" s="134" t="inlineStr">
        <x:is>
          <x:t xml:space="preserve">hero_05</x:t>
        </x:is>
      </x:c>
      <x:c r="B19" s="134" t="inlineStr">
        <x:is>
          <x:t xml:space="preserve">hero05_bastion_m</x:t>
        </x:is>
      </x:c>
      <x:c r="C19" s="134" t="inlineStr">
        <x:is>
          <x:t xml:space="preserve">Mythic</x:t>
        </x:is>
      </x:c>
      <x:c r="D19" s="134" t="inlineStr">
        <x:is>
          <x:t xml:space="preserve">신화급</x:t>
        </x:is>
      </x:c>
      <x:c r="E19" s="134" t="inlineStr">
        <x:is>
          <x:t xml:space="preserve">불굴 성역</x:t>
        </x:is>
      </x:c>
      <x:c r="F19" s="134" t="inlineStr">
        <x:is>
          <x:t xml:space="preserve">아군 보호막이 파괴되면 3.8m 안의 아군에게 최대 체력 14% 보호막을 4.5초 부여합니다.</x:t>
        </x:is>
      </x:c>
    </x:row>
    <x:row r="20">
      <x:c r="A20" s="134" t="inlineStr">
        <x:is>
          <x:t xml:space="preserve">hero_06</x:t>
        </x:is>
      </x:c>
      <x:c r="B20" s="134" t="inlineStr">
        <x:is>
          <x:t xml:space="preserve">hero06_spear_throw_n</x:t>
        </x:is>
      </x:c>
      <x:c r="C20" s="134" t="inlineStr">
        <x:is>
          <x:t xml:space="preserve">Normal</x:t>
        </x:is>
      </x:c>
      <x:c r="D20" s="134" t="inlineStr">
        <x:is>
          <x:t xml:space="preserve">일반</x:t>
        </x:is>
      </x:c>
      <x:c r="E20" s="134" t="inlineStr">
        <x:is>
          <x:t xml:space="preserve">추가 투창</x:t>
        </x:is>
      </x:c>
      <x:c r="F20" s="134" t="inlineStr">
        <x:is>
          <x:t xml:space="preserve">스킬 사용 시 35% 확률로 전방 5.2m에 공격력 85%의 추가 관통 피해를 줍니다.</x:t>
        </x:is>
      </x:c>
    </x:row>
    <x:row r="21">
      <x:c r="A21" s="134" t="inlineStr">
        <x:is>
          <x:t xml:space="preserve">hero_06</x:t>
        </x:is>
      </x:c>
      <x:c r="B21" s="134" t="inlineStr">
        <x:is>
          <x:t xml:space="preserve">hero06_spear_path_r</x:t>
        </x:is>
      </x:c>
      <x:c r="C21" s="134" t="inlineStr">
        <x:is>
          <x:t xml:space="preserve">Rare</x:t>
        </x:is>
      </x:c>
      <x:c r="D21" s="134" t="inlineStr">
        <x:is>
          <x:t xml:space="preserve">레어</x:t>
        </x:is>
      </x:c>
      <x:c r="E21" s="134" t="inlineStr">
        <x:is>
          <x:t xml:space="preserve">관통 가속</x:t>
        </x:is>
      </x:c>
      <x:c r="F21" s="134" t="inlineStr">
        <x:is>
          <x:t xml:space="preserve">스킬 후 전방 5.6m를 관통합니다. 2명 이상 적중하면 4초간 공격력 +8%, 공격속도 +18%를 얻습니다.</x:t>
        </x:is>
      </x:c>
    </x:row>
    <x:row r="22">
      <x:c r="A22" s="134" t="inlineStr">
        <x:is>
          <x:t xml:space="preserve">hero_06</x:t>
        </x:is>
      </x:c>
      <x:c r="B22" s="134" t="inlineStr">
        <x:is>
          <x:t xml:space="preserve">hero06_storm_lance_m</x:t>
        </x:is>
      </x:c>
      <x:c r="C22" s="134" t="inlineStr">
        <x:is>
          <x:t xml:space="preserve">Mythic</x:t>
        </x:is>
      </x:c>
      <x:c r="D22" s="134" t="inlineStr">
        <x:is>
          <x:t xml:space="preserve">신화급</x:t>
        </x:is>
      </x:c>
      <x:c r="E22" s="134" t="inlineStr">
        <x:is>
          <x:t xml:space="preserve">폭풍창 재시전</x:t>
        </x:is>
      </x:c>
      <x:c r="F22" s="134" t="inlineStr">
        <x:is>
          <x:t xml:space="preserve">전방 6.4m에 공격력 125%의 넓은 관통 피해를 주고 스킬을 위력 48%로 한 번 더 시전합니다.</x:t>
        </x:is>
      </x:c>
    </x:row>
    <x:row r="23">
      <x:c r="A23" s="134" t="inlineStr">
        <x:is>
          <x:t xml:space="preserve">hero_07</x:t>
        </x:is>
      </x:c>
      <x:c r="B23" s="134" t="inlineStr">
        <x:is>
          <x:t xml:space="preserve">hero07_soul_scythe_n</x:t>
        </x:is>
      </x:c>
      <x:c r="C23" s="134" t="inlineStr">
        <x:is>
          <x:t xml:space="preserve">Normal</x:t>
        </x:is>
      </x:c>
      <x:c r="D23" s="134" t="inlineStr">
        <x:is>
          <x:t xml:space="preserve">일반</x:t>
        </x:is>
      </x:c>
      <x:c r="E23" s="134" t="inlineStr">
        <x:is>
          <x:t xml:space="preserve">영혼 수확</x:t>
        </x:is>
      </x:c>
      <x:c r="F23" s="134" t="inlineStr">
        <x:is>
          <x:t xml:space="preserve">스킬 대상에게 추가 피해와 2.5초 24% 둔화를 주고, 이 유닛이 3킬할 때마다 마나 12%를 회복합니다.</x:t>
        </x:is>
      </x:c>
    </x:row>
    <x:row r="24">
      <x:c r="A24" s="134" t="inlineStr">
        <x:is>
          <x:t xml:space="preserve">hero_07</x:t>
        </x:is>
      </x:c>
      <x:c r="B24" s="134" t="inlineStr">
        <x:is>
          <x:t xml:space="preserve">hero07_reaper_form_r</x:t>
        </x:is>
      </x:c>
      <x:c r="C24" s="134" t="inlineStr">
        <x:is>
          <x:t xml:space="preserve">Rare</x:t>
        </x:is>
      </x:c>
      <x:c r="D24" s="134" t="inlineStr">
        <x:is>
          <x:t xml:space="preserve">레어</x:t>
        </x:is>
      </x:c>
      <x:c r="E24" s="134" t="inlineStr">
        <x:is>
          <x:t xml:space="preserve">10킬 사신화</x:t>
        </x:is>
      </x:c>
      <x:c r="F24" s="134" t="inlineStr">
        <x:is>
          <x:t xml:space="preserve">이 유닛이 10킬하면 24초 동안 공격력 +35%, 공격속도 +45%의 사신 상태가 됩니다.</x:t>
        </x:is>
      </x:c>
    </x:row>
    <x:row r="25">
      <x:c r="A25" s="134" t="inlineStr">
        <x:is>
          <x:t xml:space="preserve">hero_07</x:t>
        </x:is>
      </x:c>
      <x:c r="B25" s="134" t="inlineStr">
        <x:is>
          <x:t xml:space="preserve">hero07_reaper_execute_m</x:t>
        </x:is>
      </x:c>
      <x:c r="C25" s="134" t="inlineStr">
        <x:is>
          <x:t xml:space="preserve">Mythic</x:t>
        </x:is>
      </x:c>
      <x:c r="D25" s="134" t="inlineStr">
        <x:is>
          <x:t xml:space="preserve">신화급</x:t>
        </x:is>
      </x:c>
      <x:c r="E25" s="134" t="inlineStr">
        <x:is>
          <x:t xml:space="preserve">사신의 삼격 처형</x:t>
        </x:is>
      </x:c>
      <x:c r="F25" s="134" t="inlineStr">
        <x:is>
          <x:t xml:space="preserve">10킬 후 사신화하며, 사신 상태에서 3번째 공격마다 일반 적 체력 45% 이하면 처형 피해를 줍니다.</x:t>
        </x:is>
      </x:c>
    </x:row>
    <x:row r="26">
      <x:c r="A26" s="134" t="inlineStr">
        <x:is>
          <x:t xml:space="preserve">hero_08</x:t>
        </x:is>
      </x:c>
      <x:c r="B26" s="134" t="inlineStr">
        <x:is>
          <x:t xml:space="preserve">hero08_petrify_spread_n</x:t>
        </x:is>
      </x:c>
      <x:c r="C26" s="134" t="inlineStr">
        <x:is>
          <x:t xml:space="preserve">Normal</x:t>
        </x:is>
      </x:c>
      <x:c r="D26" s="134" t="inlineStr">
        <x:is>
          <x:t xml:space="preserve">일반</x:t>
        </x:is>
      </x:c>
      <x:c r="E26" s="134" t="inlineStr">
        <x:is>
          <x:t xml:space="preserve">추가 석화 주시</x:t>
        </x:is>
      </x:c>
      <x:c r="F26" s="134" t="inlineStr">
        <x:is>
          <x:t xml:space="preserve">스킬의 주 대상이 일반 적이면 2.3초 석화합니다. 보스에게는 공격력 25% 추가 피해를 줍니다.</x:t>
        </x:is>
      </x:c>
    </x:row>
    <x:row r="27">
      <x:c r="A27" s="134" t="inlineStr">
        <x:is>
          <x:t xml:space="preserve">hero_08</x:t>
        </x:is>
      </x:c>
      <x:c r="B27" s="134" t="inlineStr">
        <x:is>
          <x:t xml:space="preserve">hero08_gallery_r</x:t>
        </x:is>
      </x:c>
      <x:c r="C27" s="134" t="inlineStr">
        <x:is>
          <x:t xml:space="preserve">Rare</x:t>
        </x:is>
      </x:c>
      <x:c r="D27" s="134" t="inlineStr">
        <x:is>
          <x:t xml:space="preserve">레어</x:t>
        </x:is>
      </x:c>
      <x:c r="E27" s="134" t="inlineStr">
        <x:is>
          <x:t xml:space="preserve">석상 3개 폭발</x:t>
        </x:is>
      </x:c>
      <x:c r="F27" s="134" t="inlineStr">
        <x:is>
          <x:t xml:space="preserve">석화된 일반 적이 3명 이상이면 스킬 대상 주변 3m에 공격력 110% 추가 피해를 줍니다.</x:t>
        </x:is>
      </x:c>
    </x:row>
    <x:row r="28">
      <x:c r="A28" s="134" t="inlineStr">
        <x:is>
          <x:t xml:space="preserve">hero_08</x:t>
        </x:is>
      </x:c>
      <x:c r="B28" s="134" t="inlineStr">
        <x:is>
          <x:t xml:space="preserve">hero08_trophy_m</x:t>
        </x:is>
      </x:c>
      <x:c r="C28" s="134" t="inlineStr">
        <x:is>
          <x:t xml:space="preserve">Mythic</x:t>
        </x:is>
      </x:c>
      <x:c r="D28" s="134" t="inlineStr">
        <x:is>
          <x:t xml:space="preserve">신화급</x:t>
        </x:is>
      </x:c>
      <x:c r="E28" s="134" t="inlineStr">
        <x:is>
          <x:t xml:space="preserve">석화 전리품</x:t>
        </x:is>
      </x:c>
      <x:c r="F28" s="134" t="inlineStr">
        <x:is>
          <x:t xml:space="preserve">스킬 대상에게 25% 확률로 3초 석화를 걸고, 일반 적 처치 시 30% 확률로 2G를 얻습니다.</x:t>
        </x:is>
      </x:c>
    </x:row>
    <x:row r="29">
      <x:c r="A29" s="134" t="inlineStr">
        <x:is>
          <x:t xml:space="preserve">hero_09</x:t>
        </x:is>
      </x:c>
      <x:c r="B29" s="134" t="inlineStr">
        <x:is>
          <x:t xml:space="preserve">hero09_front_cleave_n</x:t>
        </x:is>
      </x:c>
      <x:c r="C29" s="134" t="inlineStr">
        <x:is>
          <x:t xml:space="preserve">Normal</x:t>
        </x:is>
      </x:c>
      <x:c r="D29" s="134" t="inlineStr">
        <x:is>
          <x:t xml:space="preserve">일반</x:t>
        </x:is>
      </x:c>
      <x:c r="E29" s="134" t="inlineStr">
        <x:is>
          <x:t xml:space="preserve">전열 관통</x:t>
        </x:is>
      </x:c>
      <x:c r="F29" s="134" t="inlineStr">
        <x:is>
          <x:t xml:space="preserve">스킬 후 전방 5.2m에 공격력 72%의 추가 관통 피해를 줍니다.</x:t>
        </x:is>
      </x:c>
    </x:row>
    <x:row r="30">
      <x:c r="A30" s="134" t="inlineStr">
        <x:is>
          <x:t xml:space="preserve">hero_09</x:t>
        </x:is>
      </x:c>
      <x:c r="B30" s="134" t="inlineStr">
        <x:is>
          <x:t xml:space="preserve">hero09_backline_r</x:t>
        </x:is>
      </x:c>
      <x:c r="C30" s="134" t="inlineStr">
        <x:is>
          <x:t xml:space="preserve">Rare</x:t>
        </x:is>
      </x:c>
      <x:c r="D30" s="134" t="inlineStr">
        <x:is>
          <x:t xml:space="preserve">레어</x:t>
        </x:is>
      </x:c>
      <x:c r="E30" s="134" t="inlineStr">
        <x:is>
          <x:t xml:space="preserve">후열 2연격</x:t>
        </x:is>
      </x:c>
      <x:c r="F30" s="134" t="inlineStr">
        <x:is>
          <x:t xml:space="preserve">스킬 대상 외 가장 먼 적 2명에게 각각 공격력 72% 추가 피해를 줍니다.</x:t>
        </x:is>
      </x:c>
    </x:row>
    <x:row r="31">
      <x:c r="A31" s="134" t="inlineStr">
        <x:is>
          <x:t xml:space="preserve">hero_09</x:t>
        </x:is>
      </x:c>
      <x:c r="B31" s="134" t="inlineStr">
        <x:is>
          <x:t xml:space="preserve">hero09_twin_dragon_m</x:t>
        </x:is>
      </x:c>
      <x:c r="C31" s="134" t="inlineStr">
        <x:is>
          <x:t xml:space="preserve">Mythic</x:t>
        </x:is>
      </x:c>
      <x:c r="D31" s="134" t="inlineStr">
        <x:is>
          <x:t xml:space="preserve">신화급</x:t>
        </x:is>
      </x:c>
      <x:c r="E31" s="134" t="inlineStr">
        <x:is>
          <x:t xml:space="preserve">쌍룡 관통참</x:t>
        </x:is>
      </x:c>
      <x:c r="F31" s="134" t="inlineStr">
        <x:is>
          <x:t xml:space="preserve">전방 6.5m에 공격력 110% 관통 피해를 주고 가장 먼 적 3명에게 공격력 85% 피해를 줍니다.</x:t>
        </x:is>
      </x:c>
    </x:row>
    <x:row r="32">
      <x:c r="A32" s="134" t="inlineStr">
        <x:is>
          <x:t xml:space="preserve">hero_10</x:t>
        </x:is>
      </x:c>
      <x:c r="B32" s="134" t="inlineStr">
        <x:is>
          <x:t xml:space="preserve">hero10_wind_echo_n</x:t>
        </x:is>
      </x:c>
      <x:c r="C32" s="134" t="inlineStr">
        <x:is>
          <x:t xml:space="preserve">Normal</x:t>
        </x:is>
      </x:c>
      <x:c r="D32" s="134" t="inlineStr">
        <x:is>
          <x:t xml:space="preserve">일반</x:t>
        </x:is>
      </x:c>
      <x:c r="E32" s="134" t="inlineStr">
        <x:is>
          <x:t xml:space="preserve">3기 동조 시전</x:t>
        </x:is>
      </x:c>
      <x:c r="F32" s="134" t="inlineStr">
        <x:is>
          <x:t xml:space="preserve">같은 유닛이 3기 이상이면 스킬 사용 시 다른 1기가 위력 45%로 추가 시전합니다.</x:t>
        </x:is>
      </x:c>
    </x:row>
    <x:row r="33">
      <x:c r="A33" s="134" t="inlineStr">
        <x:is>
          <x:t xml:space="preserve">hero_10</x:t>
        </x:is>
      </x:c>
      <x:c r="B33" s="134" t="inlineStr">
        <x:is>
          <x:t xml:space="preserve">hero10_chorus_r</x:t>
        </x:is>
      </x:c>
      <x:c r="C33" s="134" t="inlineStr">
        <x:is>
          <x:t xml:space="preserve">Rare</x:t>
        </x:is>
      </x:c>
      <x:c r="D33" s="134" t="inlineStr">
        <x:is>
          <x:t xml:space="preserve">레어</x:t>
        </x:is>
      </x:c>
      <x:c r="E33" s="134" t="inlineStr">
        <x:is>
          <x:t xml:space="preserve">3기 바람 합창</x:t>
        </x:is>
      </x:c>
      <x:c r="F33" s="134" t="inlineStr">
        <x:is>
          <x:t xml:space="preserve">같은 유닛이 3기 이상이면 스킬 사용 시 나머지 전원이 위력 55%로 추가 시전합니다.</x:t>
        </x:is>
      </x:c>
    </x:row>
    <x:row r="34">
      <x:c r="A34" s="134" t="inlineStr">
        <x:is>
          <x:t xml:space="preserve">hero_10</x:t>
        </x:is>
      </x:c>
      <x:c r="B34" s="134" t="inlineStr">
        <x:is>
          <x:t xml:space="preserve">hero10_storm_ritual_m</x:t>
        </x:is>
      </x:c>
      <x:c r="C34" s="134" t="inlineStr">
        <x:is>
          <x:t xml:space="preserve">Mythic</x:t>
        </x:is>
      </x:c>
      <x:c r="D34" s="134" t="inlineStr">
        <x:is>
          <x:t xml:space="preserve">신화급</x:t>
        </x:is>
      </x:c>
      <x:c r="E34" s="134" t="inlineStr">
        <x:is>
          <x:t xml:space="preserve">3기 폭풍 의식</x:t>
        </x:is>
      </x:c>
      <x:c r="F34" s="134" t="inlineStr">
        <x:is>
          <x:t xml:space="preserve">같은 유닛이 3기 이상이면 스킬 사용 시 나머지 전원이 위력 80%로 추가 시전합니다.</x:t>
        </x:is>
      </x:c>
    </x:row>
    <x:row r="35">
      <x:c r="A35" s="134" t="inlineStr">
        <x:is>
          <x:t xml:space="preserve">hero_11</x:t>
        </x:is>
      </x:c>
      <x:c r="B35" s="134" t="inlineStr">
        <x:is>
          <x:t xml:space="preserve">hero11_blood_bank_n</x:t>
        </x:is>
      </x:c>
      <x:c r="C35" s="134" t="inlineStr">
        <x:is>
          <x:t xml:space="preserve">Normal</x:t>
        </x:is>
      </x:c>
      <x:c r="D35" s="134" t="inlineStr">
        <x:is>
          <x:t xml:space="preserve">일반</x:t>
        </x:is>
      </x:c>
      <x:c r="E35" s="134" t="inlineStr">
        <x:is>
          <x:t xml:space="preserve">체력 흡수 축적</x:t>
        </x:is>
      </x:c>
      <x:c r="F35" s="134" t="inlineStr">
        <x:is>
          <x:t xml:space="preserve">스킬마다 최대 체력이 3%씩, 최대 18%까지 증가하고 현재 최대 체력의 8%를 회복합니다.</x:t>
        </x:is>
      </x:c>
    </x:row>
    <x:row r="36">
      <x:c r="A36" s="134" t="inlineStr">
        <x:is>
          <x:t xml:space="preserve">hero_11</x:t>
        </x:is>
      </x:c>
      <x:c r="B36" s="134" t="inlineStr">
        <x:is>
          <x:t xml:space="preserve">hero11_blood_surge_r</x:t>
        </x:is>
      </x:c>
      <x:c r="C36" s="134" t="inlineStr">
        <x:is>
          <x:t xml:space="preserve">Rare</x:t>
        </x:is>
      </x:c>
      <x:c r="D36" s="134" t="inlineStr">
        <x:is>
          <x:t xml:space="preserve">레어</x:t>
        </x:is>
      </x:c>
      <x:c r="E36" s="134" t="inlineStr">
        <x:is>
          <x:t xml:space="preserve">흡수 혈류 폭발</x:t>
        </x:is>
      </x:c>
      <x:c r="F36" s="134" t="inlineStr">
        <x:is>
          <x:t xml:space="preserve">스킬마다 최대 체력이 5%씩, 최대 30%까지 증가하고 주변 2.6m에 공격력 55% 피해를 줍니다.</x:t>
        </x:is>
      </x:c>
    </x:row>
    <x:row r="37">
      <x:c r="A37" s="134" t="inlineStr">
        <x:is>
          <x:t xml:space="preserve">hero_11</x:t>
        </x:is>
      </x:c>
      <x:c r="B37" s="134" t="inlineStr">
        <x:is>
          <x:t xml:space="preserve">hero11_crimson_feast_m</x:t>
        </x:is>
      </x:c>
      <x:c r="C37" s="134" t="inlineStr">
        <x:is>
          <x:t xml:space="preserve">Mythic</x:t>
        </x:is>
      </x:c>
      <x:c r="D37" s="134" t="inlineStr">
        <x:is>
          <x:t xml:space="preserve">신화급</x:t>
        </x:is>
      </x:c>
      <x:c r="E37" s="134" t="inlineStr">
        <x:is>
          <x:t xml:space="preserve">진홍 흡수 만찬</x:t>
        </x:is>
      </x:c>
      <x:c r="F37" s="134" t="inlineStr">
        <x:is>
          <x:t xml:space="preserve">스킬마다 최대 체력 +7%(최대 45%), 3.2m 피해 85%, 체력 회복 16%, 보호막 14%를 얻습니다.</x:t>
        </x:is>
      </x:c>
    </x:row>
    <x:row r="38">
      <x:c r="A38" s="134" t="inlineStr">
        <x:is>
          <x:t xml:space="preserve">hero_12</x:t>
        </x:is>
      </x:c>
      <x:c r="B38" s="134" t="inlineStr">
        <x:is>
          <x:t xml:space="preserve">hero12_echo_cast_n</x:t>
        </x:is>
      </x:c>
      <x:c r="C38" s="134" t="inlineStr">
        <x:is>
          <x:t xml:space="preserve">Normal</x:t>
        </x:is>
      </x:c>
      <x:c r="D38" s="134" t="inlineStr">
        <x:is>
          <x:t xml:space="preserve">일반</x:t>
        </x:is>
      </x:c>
      <x:c r="E38" s="134" t="inlineStr">
        <x:is>
          <x:t xml:space="preserve">20% 암살 재시전</x:t>
        </x:is>
      </x:c>
      <x:c r="F38" s="134" t="inlineStr">
        <x:is>
          <x:t xml:space="preserve">스킬 사용 시 20% 확률로 위력 45%의 스킬을 한 번 더 시전합니다.</x:t>
        </x:is>
      </x:c>
    </x:row>
    <x:row r="39">
      <x:c r="A39" s="134" t="inlineStr">
        <x:is>
          <x:t xml:space="preserve">hero_12</x:t>
        </x:is>
      </x:c>
      <x:c r="B39" s="134" t="inlineStr">
        <x:is>
          <x:t xml:space="preserve">hero12_double_cast_r</x:t>
        </x:is>
      </x:c>
      <x:c r="C39" s="134" t="inlineStr">
        <x:is>
          <x:t xml:space="preserve">Rare</x:t>
        </x:is>
      </x:c>
      <x:c r="D39" s="134" t="inlineStr">
        <x:is>
          <x:t xml:space="preserve">레어</x:t>
        </x:is>
      </x:c>
      <x:c r="E39" s="134" t="inlineStr">
        <x:is>
          <x:t xml:space="preserve">35% 이중 암살</x:t>
        </x:is>
      </x:c>
      <x:c r="F39" s="134" t="inlineStr">
        <x:is>
          <x:t xml:space="preserve">스킬 사용 시 35% 확률로 위력 62%의 스킬을 재시전하고 마나 12%를 회복합니다.</x:t>
        </x:is>
      </x:c>
    </x:row>
    <x:row r="40">
      <x:c r="A40" s="134" t="inlineStr">
        <x:is>
          <x:t xml:space="preserve">hero_12</x:t>
        </x:is>
      </x:c>
      <x:c r="B40" s="134" t="inlineStr">
        <x:is>
          <x:t xml:space="preserve">hero12_chain_cast_m</x:t>
        </x:is>
      </x:c>
      <x:c r="C40" s="134" t="inlineStr">
        <x:is>
          <x:t xml:space="preserve">Mythic</x:t>
        </x:is>
      </x:c>
      <x:c r="D40" s="134" t="inlineStr">
        <x:is>
          <x:t xml:space="preserve">신화급</x:t>
        </x:is>
      </x:c>
      <x:c r="E40" s="134" t="inlineStr">
        <x:is>
          <x:t xml:space="preserve">연쇄 암살 시전</x:t>
        </x:is>
      </x:c>
      <x:c r="F40" s="134" t="inlineStr">
        <x:is>
          <x:t xml:space="preserve">55%부터 성공할 때마다 확률이 15%p 감소하며 최대 3회, 위력 58%로 재시전하고 매회 마나 8%를 회복합니다.</x:t>
        </x:is>
      </x:c>
    </x:row>
    <x:row r="41">
      <x:c r="A41" s="134" t="inlineStr">
        <x:is>
          <x:t xml:space="preserve">hero_13</x:t>
        </x:is>
      </x:c>
      <x:c r="B41" s="134" t="inlineStr">
        <x:is>
          <x:t xml:space="preserve">hero13_overcharge_n</x:t>
        </x:is>
      </x:c>
      <x:c r="C41" s="134" t="inlineStr">
        <x:is>
          <x:t xml:space="preserve">Normal</x:t>
        </x:is>
      </x:c>
      <x:c r="D41" s="134" t="inlineStr">
        <x:is>
          <x:t xml:space="preserve">일반</x:t>
        </x:is>
      </x:c>
      <x:c r="E41" s="134" t="inlineStr">
        <x:is>
          <x:t xml:space="preserve">주변 과충전</x:t>
        </x:is>
      </x:c>
      <x:c r="F41" s="134" t="inlineStr">
        <x:is>
          <x:t xml:space="preserve">스킬 사용 시 3.2m 안의 아군이 마나 8%를 회복하고 공격속도 +12%를 3초 얻습니다.</x:t>
        </x:is>
      </x:c>
    </x:row>
    <x:row r="42">
      <x:c r="A42" s="134" t="inlineStr">
        <x:is>
          <x:t xml:space="preserve">hero_13</x:t>
        </x:is>
      </x:c>
      <x:c r="B42" s="134" t="inlineStr">
        <x:is>
          <x:t xml:space="preserve">hero13_mana_gamble_r</x:t>
        </x:is>
      </x:c>
      <x:c r="C42" s="134" t="inlineStr">
        <x:is>
          <x:t xml:space="preserve">Rare</x:t>
        </x:is>
      </x:c>
      <x:c r="D42" s="134" t="inlineStr">
        <x:is>
          <x:t xml:space="preserve">레어</x:t>
        </x:is>
      </x:c>
      <x:c r="E42" s="134" t="inlineStr">
        <x:is>
          <x:t xml:space="preserve">50% 마나 환급</x:t>
        </x:is>
      </x:c>
      <x:c r="F42" s="134" t="inlineStr">
        <x:is>
          <x:t xml:space="preserve">스킬 사용 시 50% 확률로 최대 마나의 50%를 즉시 회복합니다.</x:t>
        </x:is>
      </x:c>
    </x:row>
    <x:row r="43">
      <x:c r="A43" s="134" t="inlineStr">
        <x:is>
          <x:t xml:space="preserve">hero_13</x:t>
        </x:is>
      </x:c>
      <x:c r="B43" s="134" t="inlineStr">
        <x:is>
          <x:t xml:space="preserve">hero13_chain_battery_m</x:t>
        </x:is>
      </x:c>
      <x:c r="C43" s="134" t="inlineStr">
        <x:is>
          <x:t xml:space="preserve">Mythic</x:t>
        </x:is>
      </x:c>
      <x:c r="D43" s="134" t="inlineStr">
        <x:is>
          <x:t xml:space="preserve">신화급</x:t>
        </x:is>
      </x:c>
      <x:c r="E43" s="134" t="inlineStr">
        <x:is>
          <x:t xml:space="preserve">저마나 3기 충전</x:t>
        </x:is>
      </x:c>
      <x:c r="F43" s="134" t="inlineStr">
        <x:is>
          <x:t xml:space="preserve">스킬 사용 시 5.5m 안에서 마나가 가장 낮은 아군 3명이 최대 마나의 18%를 회복합니다.</x:t>
        </x:is>
      </x:c>
    </x:row>
    <x:row r="44">
      <x:c r="A44" s="134" t="inlineStr">
        <x:is>
          <x:t xml:space="preserve">hero_14</x:t>
        </x:is>
      </x:c>
      <x:c r="B44" s="134" t="inlineStr">
        <x:is>
          <x:t xml:space="preserve">hero14_remote_buff_n</x:t>
        </x:is>
      </x:c>
      <x:c r="C44" s="134" t="inlineStr">
        <x:is>
          <x:t xml:space="preserve">Normal</x:t>
        </x:is>
      </x:c>
      <x:c r="D44" s="134" t="inlineStr">
        <x:is>
          <x:t xml:space="preserve">일반</x:t>
        </x:is>
      </x:c>
      <x:c r="E44" s="134" t="inlineStr">
        <x:is>
          <x:t xml:space="preserve">1기 원격 지휘</x:t>
        </x:is>
      </x:c>
      <x:c r="F44" s="134" t="inlineStr">
        <x:is>
          <x:t xml:space="preserve">스킬 사용 시 무작위 아군 1명의 공격력 +8%, 공격속도 +22%가 5초 적용됩니다.</x:t>
        </x:is>
      </x:c>
    </x:row>
    <x:row r="45">
      <x:c r="A45" s="134" t="inlineStr">
        <x:is>
          <x:t xml:space="preserve">hero_14</x:t>
        </x:is>
      </x:c>
      <x:c r="B45" s="134" t="inlineStr">
        <x:is>
          <x:t xml:space="preserve">hero14_remote_order_r</x:t>
        </x:is>
      </x:c>
      <x:c r="C45" s="134" t="inlineStr">
        <x:is>
          <x:t xml:space="preserve">Rare</x:t>
        </x:is>
      </x:c>
      <x:c r="D45" s="134" t="inlineStr">
        <x:is>
          <x:t xml:space="preserve">레어</x:t>
        </x:is>
      </x:c>
      <x:c r="E45" s="134" t="inlineStr">
        <x:is>
          <x:t xml:space="preserve">2기 광역 명령</x:t>
        </x:is>
      </x:c>
      <x:c r="F45" s="134" t="inlineStr">
        <x:is>
          <x:t xml:space="preserve">스킬 사용 시 무작위 아군 2명의 공격력 +12%, 공격속도 +30%가 5초 적용됩니다.</x:t>
        </x:is>
      </x:c>
    </x:row>
    <x:row r="46">
      <x:c r="A46" s="134" t="inlineStr">
        <x:is>
          <x:t xml:space="preserve">hero_14</x:t>
        </x:is>
      </x:c>
      <x:c r="B46" s="134" t="inlineStr">
        <x:is>
          <x:t xml:space="preserve">hero14_whole_army_m</x:t>
        </x:is>
      </x:c>
      <x:c r="C46" s="134" t="inlineStr">
        <x:is>
          <x:t xml:space="preserve">Mythic</x:t>
        </x:is>
      </x:c>
      <x:c r="D46" s="134" t="inlineStr">
        <x:is>
          <x:t xml:space="preserve">신화급</x:t>
        </x:is>
      </x:c>
      <x:c r="E46" s="134" t="inlineStr">
        <x:is>
          <x:t xml:space="preserve">전군 진격 명령</x:t>
        </x:is>
      </x:c>
      <x:c r="F46" s="134" t="inlineStr">
        <x:is>
          <x:t xml:space="preserve">모든 아군의 공격력 +16%, 공격속도 +38%가 6초 적용되고 마나가 낮은 아군 3명은 마나 10%를 회복합니다.</x:t>
        </x:is>
      </x:c>
    </x:row>
    <x:row r="47">
      <x:c r="A47" s="134" t="inlineStr">
        <x:is>
          <x:t xml:space="preserve">hero_21</x:t>
        </x:is>
      </x:c>
      <x:c r="B47" s="134" t="inlineStr">
        <x:is>
          <x:t xml:space="preserve">hero21_twin_call_n</x:t>
        </x:is>
      </x:c>
      <x:c r="C47" s="134" t="inlineStr">
        <x:is>
          <x:t xml:space="preserve">Normal</x:t>
        </x:is>
      </x:c>
      <x:c r="D47" s="134" t="inlineStr">
        <x:is>
          <x:t xml:space="preserve">일반</x:t>
        </x:is>
      </x:c>
      <x:c r="E47" s="134" t="inlineStr">
        <x:is>
          <x:t xml:space="preserve">미니미 2기 소환</x:t>
        </x:is>
      </x:c>
      <x:c r="F47" s="134" t="inlineStr">
        <x:is>
          <x:t xml:space="preserve">스킬 사용 시 본체 체력·공격력의 35%를 지닌 미니미 2기를 소환합니다.</x:t>
        </x:is>
      </x:c>
    </x:row>
    <x:row r="48">
      <x:c r="A48" s="134" t="inlineStr">
        <x:is>
          <x:t xml:space="preserve">hero_21</x:t>
        </x:is>
      </x:c>
      <x:c r="B48" s="134" t="inlineStr">
        <x:is>
          <x:t xml:space="preserve">hero21_pack_hunt_r</x:t>
        </x:is>
      </x:c>
      <x:c r="C48" s="134" t="inlineStr">
        <x:is>
          <x:t xml:space="preserve">Rare</x:t>
        </x:is>
      </x:c>
      <x:c r="D48" s="134" t="inlineStr">
        <x:is>
          <x:t xml:space="preserve">레어</x:t>
        </x:is>
      </x:c>
      <x:c r="E48" s="134" t="inlineStr">
        <x:is>
          <x:t xml:space="preserve">미니미 3기 소환</x:t>
        </x:is>
      </x:c>
      <x:c r="F48" s="134" t="inlineStr">
        <x:is>
          <x:t xml:space="preserve">스킬 사용 시 본체 체력·공격력의 42%를 지닌 미니미 3기를 소환합니다.</x:t>
        </x:is>
      </x:c>
    </x:row>
    <x:row r="49">
      <x:c r="A49" s="134" t="inlineStr">
        <x:is>
          <x:t xml:space="preserve">hero_21</x:t>
        </x:is>
      </x:c>
      <x:c r="B49" s="134" t="inlineStr">
        <x:is>
          <x:t xml:space="preserve">hero21_alpha_pack_m</x:t>
        </x:is>
      </x:c>
      <x:c r="C49" s="134" t="inlineStr">
        <x:is>
          <x:t xml:space="preserve">Mythic</x:t>
        </x:is>
      </x:c>
      <x:c r="D49" s="134" t="inlineStr">
        <x:is>
          <x:t xml:space="preserve">신화급</x:t>
        </x:is>
      </x:c>
      <x:c r="E49" s="134" t="inlineStr">
        <x:is>
          <x:t xml:space="preserve">강화 미니미 3기</x:t>
        </x:is>
      </x:c>
      <x:c r="F49" s="134" t="inlineStr">
        <x:is>
          <x:t xml:space="preserve">스킬 사용 시 체력·공격력 55%의 미니미 3기를 소환하고 본체는 5초간 공격력 +12%, 공격속도 +18%를 얻습니다.</x:t>
        </x:is>
      </x:c>
    </x:row>
    <x:row r="50">
      <x:c r="A50" s="134" t="inlineStr">
        <x:is>
          <x:t xml:space="preserve">hero_22</x:t>
        </x:is>
      </x:c>
      <x:c r="B50" s="134" t="inlineStr">
        <x:is>
          <x:t xml:space="preserve">hero22_thorn_shell_n</x:t>
        </x:is>
      </x:c>
      <x:c r="C50" s="134" t="inlineStr">
        <x:is>
          <x:t xml:space="preserve">Normal</x:t>
        </x:is>
      </x:c>
      <x:c r="D50" s="134" t="inlineStr">
        <x:is>
          <x:t xml:space="preserve">일반</x:t>
        </x:is>
      </x:c>
      <x:c r="E50" s="134" t="inlineStr">
        <x:is>
          <x:t xml:space="preserve">가시 보호 태세</x:t>
        </x:is>
      </x:c>
      <x:c r="F50" s="134" t="inlineStr">
        <x:is>
          <x:t xml:space="preserve">스킬 사용 시 4초 동안 최대 체력 18% 보호막과 피해 감소 16%를 얻습니다.</x:t>
        </x:is>
      </x:c>
    </x:row>
    <x:row r="51">
      <x:c r="A51" s="134" t="inlineStr">
        <x:is>
          <x:t xml:space="preserve">hero_22</x:t>
        </x:is>
      </x:c>
      <x:c r="B51" s="134" t="inlineStr">
        <x:is>
          <x:t xml:space="preserve">hero22_reflect_field_r</x:t>
        </x:is>
      </x:c>
      <x:c r="C51" s="134" t="inlineStr">
        <x:is>
          <x:t xml:space="preserve">Rare</x:t>
        </x:is>
      </x:c>
      <x:c r="D51" s="134" t="inlineStr">
        <x:is>
          <x:t xml:space="preserve">레어</x:t>
        </x:is>
      </x:c>
      <x:c r="E51" s="134" t="inlineStr">
        <x:is>
          <x:t xml:space="preserve">4.5초 반사장</x:t>
        </x:is>
      </x:c>
      <x:c r="F51" s="134" t="inlineStr">
        <x:is>
          <x:t xml:space="preserve">4.5초간 받은 피해를 저장해 종료 시 주변 3m에 35%를 돌려주고, 주변 아군에게 4초 보호막 8%를 줍니다.</x:t>
        </x:is>
      </x:c>
    </x:row>
    <x:row r="52">
      <x:c r="A52" s="134" t="inlineStr">
        <x:is>
          <x:t xml:space="preserve">hero_22</x:t>
        </x:is>
      </x:c>
      <x:c r="B52" s="134" t="inlineStr">
        <x:is>
          <x:t xml:space="preserve">hero22_thorn_crown_m</x:t>
        </x:is>
      </x:c>
      <x:c r="C52" s="134" t="inlineStr">
        <x:is>
          <x:t xml:space="preserve">Mythic</x:t>
        </x:is>
      </x:c>
      <x:c r="D52" s="134" t="inlineStr">
        <x:is>
          <x:t xml:space="preserve">신화급</x:t>
        </x:is>
      </x:c>
      <x:c r="E52" s="134" t="inlineStr">
        <x:is>
          <x:t xml:space="preserve">가시 왕관 폭발</x:t>
        </x:is>
      </x:c>
      <x:c r="F52" s="134" t="inlineStr">
        <x:is>
          <x:t xml:space="preserve">5초간 피해 감소 34%, 주변 아군 보호막 16%를 부여하고 반경 3.4m에 공격력 85% 피해를 줍니다.</x:t>
        </x:is>
      </x:c>
    </x:row>
    <x:row r="53">
      <x:c r="A53" s="134" t="inlineStr">
        <x:is>
          <x:t xml:space="preserve">hero_23</x:t>
        </x:is>
      </x:c>
      <x:c r="B53" s="134" t="inlineStr">
        <x:is>
          <x:t xml:space="preserve">hero23_power_hit_n</x:t>
        </x:is>
      </x:c>
      <x:c r="C53" s="134" t="inlineStr">
        <x:is>
          <x:t xml:space="preserve">Normal</x:t>
        </x:is>
      </x:c>
      <x:c r="D53" s="134" t="inlineStr">
        <x:is>
          <x:t xml:space="preserve">일반</x:t>
        </x:is>
      </x:c>
      <x:c r="E53" s="134" t="inlineStr">
        <x:is>
          <x:t xml:space="preserve">추가 강타</x:t>
        </x:is>
      </x:c>
      <x:c r="F53" s="134" t="inlineStr">
        <x:is>
          <x:t xml:space="preserve">스킬의 주 대상에게 공격력 75%의 추가 피해를 줍니다.</x:t>
        </x:is>
      </x:c>
    </x:row>
    <x:row r="54">
      <x:c r="A54" s="134" t="inlineStr">
        <x:is>
          <x:t xml:space="preserve">hero_23</x:t>
        </x:is>
      </x:c>
      <x:c r="B54" s="134" t="inlineStr">
        <x:is>
          <x:t xml:space="preserve">hero23_weakpoint_r</x:t>
        </x:is>
      </x:c>
      <x:c r="C54" s="134" t="inlineStr">
        <x:is>
          <x:t xml:space="preserve">Rare</x:t>
        </x:is>
      </x:c>
      <x:c r="D54" s="134" t="inlineStr">
        <x:is>
          <x:t xml:space="preserve">레어</x:t>
        </x:is>
      </x:c>
      <x:c r="E54" s="134" t="inlineStr">
        <x:is>
          <x:t xml:space="preserve">체력 50% 약점 가격</x:t>
        </x:is>
      </x:c>
      <x:c r="F54" s="134" t="inlineStr">
        <x:is>
          <x:t xml:space="preserve">스킬 대상 체력이 50% 이하면 공격력 135%, 아니면 공격력 55%의 추가 피해를 줍니다.</x:t>
        </x:is>
      </x:c>
    </x:row>
    <x:row r="55">
      <x:c r="A55" s="134" t="inlineStr">
        <x:is>
          <x:t xml:space="preserve">hero_23</x:t>
        </x:is>
      </x:c>
      <x:c r="B55" s="134" t="inlineStr">
        <x:is>
          <x:t xml:space="preserve">hero23_royal_break_m</x:t>
        </x:is>
      </x:c>
      <x:c r="C55" s="134" t="inlineStr">
        <x:is>
          <x:t xml:space="preserve">Mythic</x:t>
        </x:is>
      </x:c>
      <x:c r="D55" s="134" t="inlineStr">
        <x:is>
          <x:t xml:space="preserve">신화급</x:t>
        </x:is>
      </x:c>
      <x:c r="E55" s="134" t="inlineStr">
        <x:is>
          <x:t xml:space="preserve">왕의 연쇄 강타</x:t>
        </x:is>
      </x:c>
      <x:c r="F55" s="134" t="inlineStr">
        <x:is>
          <x:t xml:space="preserve">스킬 대상에게 공격력 130%의 치명 피해를 주고 가까운 적 3명에게 공격력 75% 피해를 줍니다.</x:t>
        </x:is>
      </x:c>
    </x:row>
    <x:row r="56">
      <x:c r="A56" s="134" t="inlineStr">
        <x:is>
          <x:t xml:space="preserve">hero_31</x:t>
        </x:is>
      </x:c>
      <x:c r="B56" s="134" t="inlineStr">
        <x:is>
          <x:t xml:space="preserve">hero31_battle_rhythm_n</x:t>
        </x:is>
      </x:c>
      <x:c r="C56" s="134" t="inlineStr">
        <x:is>
          <x:t xml:space="preserve">Normal</x:t>
        </x:is>
      </x:c>
      <x:c r="D56" s="134" t="inlineStr">
        <x:is>
          <x:t xml:space="preserve">일반</x:t>
        </x:is>
      </x:c>
      <x:c r="E56" s="134" t="inlineStr">
        <x:is>
          <x:t xml:space="preserve">5초 전투 리듬</x:t>
        </x:is>
      </x:c>
      <x:c r="F56" s="134" t="inlineStr">
        <x:is>
          <x:t xml:space="preserve">스킬 사용 시 5초 동안 공격력 +14%, 공격속도 +18%를 얻습니다.</x:t>
        </x:is>
      </x:c>
    </x:row>
    <x:row r="57">
      <x:c r="A57" s="134" t="inlineStr">
        <x:is>
          <x:t xml:space="preserve">hero_31</x:t>
        </x:is>
      </x:c>
      <x:c r="B57" s="134" t="inlineStr">
        <x:is>
          <x:t xml:space="preserve">hero31_guard_stance_r</x:t>
        </x:is>
      </x:c>
      <x:c r="C57" s="134" t="inlineStr">
        <x:is>
          <x:t xml:space="preserve">Rare</x:t>
        </x:is>
      </x:c>
      <x:c r="D57" s="134" t="inlineStr">
        <x:is>
          <x:t xml:space="preserve">레어</x:t>
        </x:is>
      </x:c>
      <x:c r="E57" s="134" t="inlineStr">
        <x:is>
          <x:t xml:space="preserve">5초 수비 태세</x:t>
        </x:is>
      </x:c>
      <x:c r="F57" s="134" t="inlineStr">
        <x:is>
          <x:t xml:space="preserve">스킬 사용 시 5초 동안 피해 감소 30%와 최대 체력 10% 보호막을 얻습니다.</x:t>
        </x:is>
      </x:c>
    </x:row>
    <x:row r="58">
      <x:c r="A58" s="134" t="inlineStr">
        <x:is>
          <x:t xml:space="preserve">hero_31</x:t>
        </x:is>
      </x:c>
      <x:c r="B58" s="134" t="inlineStr">
        <x:is>
          <x:t xml:space="preserve">hero31_iron_growth_m</x:t>
        </x:is>
      </x:c>
      <x:c r="C58" s="134" t="inlineStr">
        <x:is>
          <x:t xml:space="preserve">Mythic</x:t>
        </x:is>
      </x:c>
      <x:c r="D58" s="134" t="inlineStr">
        <x:is>
          <x:t xml:space="preserve">신화급</x:t>
        </x:is>
      </x:c>
      <x:c r="E58" s="134" t="inlineStr">
        <x:is>
          <x:t xml:space="preserve">강철 전투 성장</x:t>
        </x:is>
      </x:c>
      <x:c r="F58" s="134" t="inlineStr">
        <x:is>
          <x:t xml:space="preserve">스킬마다 최대 체력 +4%(최대 28%), 6초간 공격력·공격속도 +22%, 피해 감소 35%를 얻습니다.</x:t>
        </x:is>
      </x:c>
    </x:row>
    <x:row r="59" ht="44" customHeight="1">
      <x:c r="A59" s="134" t="inlineStr">
        <x:is>
          <x:t xml:space="preserve">hero_32</x:t>
        </x:is>
      </x:c>
      <x:c r="B59" s="134" t="inlineStr">
        <x:is>
          <x:t xml:space="preserve">hero32_predator_rhythm_n</x:t>
        </x:is>
      </x:c>
      <x:c r="C59" s="134" t="inlineStr">
        <x:is>
          <x:t xml:space="preserve">Normal</x:t>
        </x:is>
      </x:c>
      <x:c r="D59" s="134" t="inlineStr">
        <x:is>
          <x:t xml:space="preserve">일반</x:t>
        </x:is>
      </x:c>
      <x:c r="E59" s="134" t="inlineStr">
        <x:is>
          <x:t xml:space="preserve">포식 리듬</x:t>
        </x:is>
      </x:c>
      <x:c r="F59" s="134" t="inlineStr">
        <x:is>
          <x:t xml:space="preserve">스킬 사용 시 5초 동안 공격력 +10%, 공격속도 +20%를 얻습니다.</x:t>
        </x:is>
      </x:c>
    </x:row>
    <x:row r="60" ht="44" customHeight="1">
      <x:c r="A60" s="134" t="inlineStr">
        <x:is>
          <x:t xml:space="preserve">hero_32</x:t>
        </x:is>
      </x:c>
      <x:c r="B60" s="134" t="inlineStr">
        <x:is>
          <x:t xml:space="preserve">hero32_pack_hunt_r</x:t>
        </x:is>
      </x:c>
      <x:c r="C60" s="134" t="inlineStr">
        <x:is>
          <x:t xml:space="preserve">Rare</x:t>
        </x:is>
      </x:c>
      <x:c r="D60" s="134" t="inlineStr">
        <x:is>
          <x:t xml:space="preserve">레어</x:t>
        </x:is>
      </x:c>
      <x:c r="E60" s="134" t="inlineStr">
        <x:is>
          <x:t xml:space="preserve">무리 사냥탄</x:t>
        </x:is>
      </x:c>
      <x:c r="F60" s="134" t="inlineStr">
        <x:is>
          <x:t xml:space="preserve">스킬 사용 시 무작위 적에게 공격력 60% 추가 사격 2발을 발사합니다. 같은 적을 다시 맞힐 수 있습니다.</x:t>
        </x:is>
      </x:c>
    </x:row>
    <x:row r="61" ht="44" customHeight="1">
      <x:c r="A61" s="134" t="inlineStr">
        <x:is>
          <x:t xml:space="preserve">hero_32</x:t>
        </x:is>
      </x:c>
      <x:c r="B61" s="134" t="inlineStr">
        <x:is>
          <x:t xml:space="preserve">hero32_alpha_hunt_m</x:t>
        </x:is>
      </x:c>
      <x:c r="C61" s="134" t="inlineStr">
        <x:is>
          <x:t xml:space="preserve">Mythic</x:t>
        </x:is>
      </x:c>
      <x:c r="D61" s="134" t="inlineStr">
        <x:is>
          <x:t xml:space="preserve">신화급</x:t>
        </x:is>
      </x:c>
      <x:c r="E61" s="134" t="inlineStr">
        <x:is>
          <x:t xml:space="preserve">알파의 포효</x:t>
        </x:is>
      </x:c>
      <x:c r="F61" s="134" t="inlineStr">
        <x:is>
          <x:t xml:space="preserve">스킬 사용 시 무작위 적에게 공격력 70% 추가 사격 4발을 발사하고 6초간 공격력 +16%, 공격속도 +28%를 얻습니다.</x:t>
        </x:is>
      </x:c>
    </x:row>
    <x:row r="62">
      <x:c r="A62" s="134" t="inlineStr">
        <x:is>
          <x:t xml:space="preserve">hero_33</x:t>
        </x:is>
      </x:c>
      <x:c r="B62" s="134" t="inlineStr">
        <x:is>
          <x:t xml:space="preserve">hero33_poison_remnant_n</x:t>
        </x:is>
      </x:c>
      <x:c r="C62" s="134" t="inlineStr">
        <x:is>
          <x:t xml:space="preserve">Normal</x:t>
        </x:is>
      </x:c>
      <x:c r="D62" s="134" t="inlineStr">
        <x:is>
          <x:t xml:space="preserve">일반</x:t>
        </x:is>
      </x:c>
      <x:c r="E62" s="134" t="inlineStr">
        <x:is>
          <x:t xml:space="preserve">4초 잔류 독무</x:t>
        </x:is>
      </x:c>
      <x:c r="F62" s="134" t="inlineStr">
        <x:is>
          <x:t xml:space="preserve">스킬 위치에 반경 2.7m 독무를 4초 생성해 0.8초마다 공격력 32% 피해를 줍니다.</x:t>
        </x:is>
      </x:c>
    </x:row>
    <x:row r="63">
      <x:c r="A63" s="134" t="inlineStr">
        <x:is>
          <x:t xml:space="preserve">hero_33</x:t>
        </x:is>
      </x:c>
      <x:c r="B63" s="134" t="inlineStr">
        <x:is>
          <x:t xml:space="preserve">hero33_wandering_mist_r</x:t>
        </x:is>
      </x:c>
      <x:c r="C63" s="134" t="inlineStr">
        <x:is>
          <x:t xml:space="preserve">Rare</x:t>
        </x:is>
      </x:c>
      <x:c r="D63" s="134" t="inlineStr">
        <x:is>
          <x:t xml:space="preserve">레어</x:t>
        </x:is>
      </x:c>
      <x:c r="E63" s="134" t="inlineStr">
        <x:is>
          <x:t xml:space="preserve">떠도는 독무 1회</x:t>
        </x:is>
      </x:c>
      <x:c r="F63" s="134" t="inlineStr">
        <x:is>
          <x:t xml:space="preserve">스킬 4초 후 무작위 적 위치에 반경 2.4m 독무를 3.2초 한 번 더 생성합니다.</x:t>
        </x:is>
      </x:c>
    </x:row>
    <x:row r="64">
      <x:c r="A64" s="134" t="inlineStr">
        <x:is>
          <x:t xml:space="preserve">hero_33</x:t>
        </x:is>
      </x:c>
      <x:c r="B64" s="134" t="inlineStr">
        <x:is>
          <x:t xml:space="preserve">hero33_endless_miasma_m</x:t>
        </x:is>
      </x:c>
      <x:c r="C64" s="134" t="inlineStr">
        <x:is>
          <x:t xml:space="preserve">Mythic</x:t>
        </x:is>
      </x:c>
      <x:c r="D64" s="134" t="inlineStr">
        <x:is>
          <x:t xml:space="preserve">신화급</x:t>
        </x:is>
      </x:c>
      <x:c r="E64" s="134" t="inlineStr">
        <x:is>
          <x:t xml:space="preserve">독무 2회 확산</x:t>
        </x:is>
      </x:c>
      <x:c r="F64" s="134" t="inlineStr">
        <x:is>
          <x:t xml:space="preserve">반경 3.2m 독무와 28% 둔화를 만들고 3.5초 후 무작위 적 위치에 독무 2개를 추가 생성합니다.</x:t>
        </x:is>
      </x:c>
    </x:row>
    <x:row r="65">
      <x:c r="A65" s="134" t="inlineStr">
        <x:is>
          <x:t xml:space="preserve">hero_51</x:t>
        </x:is>
      </x:c>
      <x:c r="B65" s="134" t="inlineStr">
        <x:is>
          <x:t xml:space="preserve">hero51_chain_lightning_n</x:t>
        </x:is>
      </x:c>
      <x:c r="C65" s="134" t="inlineStr">
        <x:is>
          <x:t xml:space="preserve">Normal</x:t>
        </x:is>
      </x:c>
      <x:c r="D65" s="134" t="inlineStr">
        <x:is>
          <x:t xml:space="preserve">일반</x:t>
        </x:is>
      </x:c>
      <x:c r="E65" s="134" t="inlineStr">
        <x:is>
          <x:t xml:space="preserve">번개 2명 연쇄</x:t>
        </x:is>
      </x:c>
      <x:c r="F65" s="134" t="inlineStr">
        <x:is>
          <x:t xml:space="preserve">스킬 대상 외 가까운 적 2명에게 각각 공격력 45%의 추가 피해를 줍니다.</x:t>
        </x:is>
      </x:c>
    </x:row>
    <x:row r="66">
      <x:c r="A66" s="134" t="inlineStr">
        <x:is>
          <x:t xml:space="preserve">hero_51</x:t>
        </x:is>
      </x:c>
      <x:c r="B66" s="134" t="inlineStr">
        <x:is>
          <x:t xml:space="preserve">hero51_residual_lightning_r</x:t>
        </x:is>
      </x:c>
      <x:c r="C66" s="134" t="inlineStr">
        <x:is>
          <x:t xml:space="preserve">Rare</x:t>
        </x:is>
      </x:c>
      <x:c r="D66" s="134" t="inlineStr">
        <x:is>
          <x:t xml:space="preserve">레어</x:t>
        </x:is>
      </x:c>
      <x:c r="E66" s="134" t="inlineStr">
        <x:is>
          <x:t xml:space="preserve">30% 잔류 재시전</x:t>
        </x:is>
      </x:c>
      <x:c r="F66" s="134" t="inlineStr">
        <x:is>
          <x:t xml:space="preserve">스킬 사용 시 30% 확률로 위력 45%의 스킬을 한 번 더 시전합니다.</x:t>
        </x:is>
      </x:c>
    </x:row>
    <x:row r="67">
      <x:c r="A67" s="134" t="inlineStr">
        <x:is>
          <x:t xml:space="preserve">hero_51</x:t>
        </x:is>
      </x:c>
      <x:c r="B67" s="134" t="inlineStr">
        <x:is>
          <x:t xml:space="preserve">hero51_overload_circuit_m</x:t>
        </x:is>
      </x:c>
      <x:c r="C67" s="134" t="inlineStr">
        <x:is>
          <x:t xml:space="preserve">Mythic</x:t>
        </x:is>
      </x:c>
      <x:c r="D67" s="134" t="inlineStr">
        <x:is>
          <x:t xml:space="preserve">신화급</x:t>
        </x:is>
      </x:c>
      <x:c r="E67" s="134" t="inlineStr">
        <x:is>
          <x:t xml:space="preserve">번개 폭주 회로</x:t>
        </x:is>
      </x:c>
      <x:c r="F67" s="134" t="inlineStr">
        <x:is>
          <x:t xml:space="preserve">45%부터 성공할 때마다 확률이 10%p 감소하며 최대 5회, 위력 42%로 추가 시전합니다.</x:t>
        </x:is>
      </x:c>
    </x:row>
    <x:row r="68">
      <x:c r="A68" s="134" t="inlineStr">
        <x:is>
          <x:t xml:space="preserve">hero_52</x:t>
        </x:is>
      </x:c>
      <x:c r="B68" s="134" t="inlineStr">
        <x:is>
          <x:t xml:space="preserve">hero52_burning_fallout_n</x:t>
        </x:is>
      </x:c>
      <x:c r="C68" s="134" t="inlineStr">
        <x:is>
          <x:t xml:space="preserve">Normal</x:t>
        </x:is>
      </x:c>
      <x:c r="D68" s="134" t="inlineStr">
        <x:is>
          <x:t xml:space="preserve">일반</x:t>
        </x:is>
      </x:c>
      <x:c r="E68" s="134" t="inlineStr">
        <x:is>
          <x:t xml:space="preserve">3.5초 운석 낙진</x:t>
        </x:is>
      </x:c>
      <x:c r="F68" s="134" t="inlineStr">
        <x:is>
          <x:t xml:space="preserve">스킬 위치에 반경 2.5m 장판을 3.5초 생성해 0.7초마다 공격력 32% 피해를 줍니다.</x:t>
        </x:is>
      </x:c>
    </x:row>
    <x:row r="69">
      <x:c r="A69" s="134" t="inlineStr">
        <x:is>
          <x:t xml:space="preserve">hero_52</x:t>
        </x:is>
      </x:c>
      <x:c r="B69" s="134" t="inlineStr">
        <x:is>
          <x:t xml:space="preserve">hero52_meteor_extend_r</x:t>
        </x:is>
      </x:c>
      <x:c r="C69" s="134" t="inlineStr">
        <x:is>
          <x:t xml:space="preserve">Rare</x:t>
        </x:is>
      </x:c>
      <x:c r="D69" s="134" t="inlineStr">
        <x:is>
          <x:t xml:space="preserve">레어</x:t>
        </x:is>
      </x:c>
      <x:c r="E69" s="134" t="inlineStr">
        <x:is>
          <x:t xml:space="preserve">처치 운석 연장</x:t>
        </x:is>
      </x:c>
      <x:c r="F69" s="134" t="inlineStr">
        <x:is>
          <x:t xml:space="preserve">스킬로 적을 처치하면 처치 위치에 반경 2.2m 운석 장판을 2.8초 생성합니다.</x:t>
        </x:is>
      </x:c>
    </x:row>
    <x:row r="70">
      <x:c r="A70" s="134" t="inlineStr">
        <x:is>
          <x:t xml:space="preserve">hero_52</x:t>
        </x:is>
      </x:c>
      <x:c r="B70" s="134" t="inlineStr">
        <x:is>
          <x:t xml:space="preserve">hero52_star_shower_m</x:t>
        </x:is>
      </x:c>
      <x:c r="C70" s="134" t="inlineStr">
        <x:is>
          <x:t xml:space="preserve">Mythic</x:t>
        </x:is>
      </x:c>
      <x:c r="D70" s="134" t="inlineStr">
        <x:is>
          <x:t xml:space="preserve">신화급</x:t>
        </x:is>
      </x:c>
      <x:c r="E70" s="134" t="inlineStr">
        <x:is>
          <x:t xml:space="preserve">처치 별빛 소나기</x:t>
        </x:is>
      </x:c>
      <x:c r="F70" s="134" t="inlineStr">
        <x:is>
          <x:t xml:space="preserve">스킬 때 작은 장판 2개를 추가하고, 스킬로 적을 처치하면 처치 위치 주변에 운석 장판 3개를 생성합니다.</x:t>
        </x:is>
      </x:c>
    </x:row>
    <x:row r="71">
      <x:c r="A71" s="134" t="inlineStr">
        <x:is>
          <x:t xml:space="preserve">hero_54</x:t>
        </x:is>
      </x:c>
      <x:c r="B71" s="134" t="inlineStr">
        <x:is>
          <x:t xml:space="preserve">hero54_stone_skin_n</x:t>
        </x:is>
      </x:c>
      <x:c r="C71" s="134" t="inlineStr">
        <x:is>
          <x:t xml:space="preserve">Normal</x:t>
        </x:is>
      </x:c>
      <x:c r="D71" s="134" t="inlineStr">
        <x:is>
          <x:t xml:space="preserve">일반</x:t>
        </x:is>
      </x:c>
      <x:c r="E71" s="134" t="inlineStr">
        <x:is>
          <x:t xml:space="preserve">4초 돌피부</x:t>
        </x:is>
      </x:c>
      <x:c r="F71" s="134" t="inlineStr">
        <x:is>
          <x:t xml:space="preserve">스킬 사용 시 4초 동안 받는 피해가 25% 감소합니다.</x:t>
        </x:is>
      </x:c>
    </x:row>
    <x:row r="72">
      <x:c r="A72" s="134" t="inlineStr">
        <x:is>
          <x:t xml:space="preserve">hero_54</x:t>
        </x:is>
      </x:c>
      <x:c r="B72" s="134" t="inlineStr">
        <x:is>
          <x:t xml:space="preserve">hero54_retribution_r</x:t>
        </x:is>
      </x:c>
      <x:c r="C72" s="134" t="inlineStr">
        <x:is>
          <x:t xml:space="preserve">Rare</x:t>
        </x:is>
      </x:c>
      <x:c r="D72" s="134" t="inlineStr">
        <x:is>
          <x:t xml:space="preserve">레어</x:t>
        </x:is>
      </x:c>
      <x:c r="E72" s="134" t="inlineStr">
        <x:is>
          <x:t xml:space="preserve">4초 응징 저장</x:t>
        </x:is>
      </x:c>
      <x:c r="F72" s="134" t="inlineStr">
        <x:is>
          <x:t xml:space="preserve">4초간 피해 감소 32%를 얻고 받은 피해를 저장해 종료 시 주변 3m에 50%를 돌려줍니다.</x:t>
        </x:is>
      </x:c>
    </x:row>
    <x:row r="73">
      <x:c r="A73" s="134" t="inlineStr">
        <x:is>
          <x:t xml:space="preserve">hero_54</x:t>
        </x:is>
      </x:c>
      <x:c r="B73" s="134" t="inlineStr">
        <x:is>
          <x:t xml:space="preserve">hero54_fortress_m</x:t>
        </x:is>
      </x:c>
      <x:c r="C73" s="134" t="inlineStr">
        <x:is>
          <x:t xml:space="preserve">Mythic</x:t>
        </x:is>
      </x:c>
      <x:c r="D73" s="134" t="inlineStr">
        <x:is>
          <x:t xml:space="preserve">신화급</x:t>
        </x:is>
      </x:c>
      <x:c r="E73" s="134" t="inlineStr">
        <x:is>
          <x:t xml:space="preserve">5초 성채화</x:t>
        </x:is>
      </x:c>
      <x:c r="F73" s="134" t="inlineStr">
        <x:is>
          <x:t xml:space="preserve">5초간 피해 감소 42%, 종료 시 받은 피해 50%를 반사하고 20%만큼 주변 아군에게 보호막을 나눕니다.</x:t>
        </x:is>
      </x:c>
    </x:row>
    <x:row r="74">
      <x:c r="A74" s="134" t="inlineStr">
        <x:is>
          <x:t xml:space="preserve">hero_55</x:t>
        </x:is>
      </x:c>
      <x:c r="B74" s="134" t="inlineStr">
        <x:is>
          <x:t xml:space="preserve">hero55_impact_guard_n</x:t>
        </x:is>
      </x:c>
      <x:c r="C74" s="134" t="inlineStr">
        <x:is>
          <x:t xml:space="preserve">Normal</x:t>
        </x:is>
      </x:c>
      <x:c r="D74" s="134" t="inlineStr">
        <x:is>
          <x:t xml:space="preserve">일반</x:t>
        </x:is>
      </x:c>
      <x:c r="E74" s="134" t="inlineStr">
        <x:is>
          <x:t xml:space="preserve">충격 흡수판</x:t>
        </x:is>
      </x:c>
      <x:c r="F74" s="134" t="inlineStr">
        <x:is>
          <x:t xml:space="preserve">스킬 사용 시 5초 동안 최대 체력 12% 보호막을 얻습니다.</x:t>
        </x:is>
      </x:c>
    </x:row>
    <x:row r="75">
      <x:c r="A75" s="134" t="inlineStr">
        <x:is>
          <x:t xml:space="preserve">hero_55</x:t>
        </x:is>
      </x:c>
      <x:c r="B75" s="134" t="inlineStr">
        <x:is>
          <x:t xml:space="preserve">hero55_wall_quake_r</x:t>
        </x:is>
      </x:c>
      <x:c r="C75" s="134" t="inlineStr">
        <x:is>
          <x:t xml:space="preserve">Rare</x:t>
        </x:is>
      </x:c>
      <x:c r="D75" s="134" t="inlineStr">
        <x:is>
          <x:t xml:space="preserve">레어</x:t>
        </x:is>
      </x:c>
      <x:c r="E75" s="134" t="inlineStr">
        <x:is>
          <x:t xml:space="preserve">철벽 충격파</x:t>
        </x:is>
      </x:c>
      <x:c r="F75" s="134" t="inlineStr">
        <x:is>
          <x:t xml:space="preserve">스킬 착탄 지점 반경 3m에 공격력 90%의 추가 피해를 줍니다.</x:t>
        </x:is>
      </x:c>
    </x:row>
    <x:row r="76">
      <x:c r="A76" s="134" t="inlineStr">
        <x:is>
          <x:t xml:space="preserve">hero_55</x:t>
        </x:is>
      </x:c>
      <x:c r="B76" s="134" t="inlineStr">
        <x:is>
          <x:t xml:space="preserve">hero55_mobile_fortress_m</x:t>
        </x:is>
      </x:c>
      <x:c r="C76" s="134" t="inlineStr">
        <x:is>
          <x:t xml:space="preserve">Mythic</x:t>
        </x:is>
      </x:c>
      <x:c r="D76" s="134" t="inlineStr">
        <x:is>
          <x:t xml:space="preserve">신화급</x:t>
        </x:is>
      </x:c>
      <x:c r="E76" s="134" t="inlineStr">
        <x:is>
          <x:t xml:space="preserve">이동 성채</x:t>
        </x:is>
      </x:c>
      <x:c r="F76" s="134" t="inlineStr">
        <x:is>
          <x:t xml:space="preserve">스킬 착탄 지점 반경 3.4m에 공격력 140% 피해를 주고 6초간 보호막 20%, 피해 감소 30%를 얻습니다.</x:t>
        </x:is>
      </x:c>
    </x:row>
    <x:row r="77">
      <x:c r="A77" s="134" t="inlineStr">
        <x:is>
          <x:t xml:space="preserve">hero_56</x:t>
        </x:is>
      </x:c>
      <x:c r="B77" s="134" t="inlineStr">
        <x:is>
          <x:t xml:space="preserve">hero56_after_blast_n</x:t>
        </x:is>
      </x:c>
      <x:c r="C77" s="134" t="inlineStr">
        <x:is>
          <x:t xml:space="preserve">Normal</x:t>
        </x:is>
      </x:c>
      <x:c r="D77" s="134" t="inlineStr">
        <x:is>
          <x:t xml:space="preserve">일반</x:t>
        </x:is>
      </x:c>
      <x:c r="E77" s="134" t="inlineStr">
        <x:is>
          <x:t xml:space="preserve">잔류 폭격</x:t>
        </x:is>
      </x:c>
      <x:c r="F77" s="134" t="inlineStr">
        <x:is>
          <x:t xml:space="preserve">스킬 착탄 지점 반경 3m에 공격력 75%의 추가 폭발 피해를 줍니다.</x:t>
        </x:is>
      </x:c>
    </x:row>
    <x:row r="78">
      <x:c r="A78" s="134" t="inlineStr">
        <x:is>
          <x:t xml:space="preserve">hero_56</x:t>
        </x:is>
      </x:c>
      <x:c r="B78" s="134" t="inlineStr">
        <x:is>
          <x:t xml:space="preserve">hero56_twin_barrage_r</x:t>
        </x:is>
      </x:c>
      <x:c r="C78" s="134" t="inlineStr">
        <x:is>
          <x:t xml:space="preserve">Rare</x:t>
        </x:is>
      </x:c>
      <x:c r="D78" s="134" t="inlineStr">
        <x:is>
          <x:t xml:space="preserve">레어</x:t>
        </x:is>
      </x:c>
      <x:c r="E78" s="134" t="inlineStr">
        <x:is>
          <x:t xml:space="preserve">쌍발 폭격</x:t>
        </x:is>
      </x:c>
      <x:c r="F78" s="134" t="inlineStr">
        <x:is>
          <x:t xml:space="preserve">폭격 스킬을 위력 50%로 한 번 더 시전합니다.</x:t>
        </x:is>
      </x:c>
    </x:row>
    <x:row r="79">
      <x:c r="A79" s="134" t="inlineStr">
        <x:is>
          <x:t xml:space="preserve">hero_56</x:t>
        </x:is>
      </x:c>
      <x:c r="B79" s="134" t="inlineStr">
        <x:is>
          <x:t xml:space="preserve">hero56_orbital_restrike_m</x:t>
        </x:is>
      </x:c>
      <x:c r="C79" s="134" t="inlineStr">
        <x:is>
          <x:t xml:space="preserve">Mythic</x:t>
        </x:is>
      </x:c>
      <x:c r="D79" s="134" t="inlineStr">
        <x:is>
          <x:t xml:space="preserve">신화급</x:t>
        </x:is>
      </x:c>
      <x:c r="E79" s="134" t="inlineStr">
        <x:is>
          <x:t xml:space="preserve">궤도 재폭격</x:t>
        </x:is>
      </x:c>
      <x:c r="F79" s="134" t="inlineStr">
        <x:is>
          <x:t xml:space="preserve">폭격 스킬을 위력 80%로 재시전하고 착탄 지점 반경 3.6m에 공격력 120% 추가 피해를 줍니다.</x:t>
        </x:is>
      </x:c>
    </x:row>
    <x:row r="80">
      <x:c r="A80" s="134" t="inlineStr">
        <x:is>
          <x:t xml:space="preserve">hero_57</x:t>
        </x:is>
      </x:c>
      <x:c r="B80" s="134" t="inlineStr">
        <x:is>
          <x:t xml:space="preserve">hero57_spare_mag_n</x:t>
        </x:is>
      </x:c>
      <x:c r="C80" s="134" t="inlineStr">
        <x:is>
          <x:t xml:space="preserve">Normal</x:t>
        </x:is>
      </x:c>
      <x:c r="D80" s="134" t="inlineStr">
        <x:is>
          <x:t xml:space="preserve">일반</x:t>
        </x:is>
      </x:c>
      <x:c r="E80" s="134" t="inlineStr">
        <x:is>
          <x:t xml:space="preserve">예비 탄창</x:t>
        </x:is>
      </x:c>
      <x:c r="F80" s="134" t="inlineStr">
        <x:is>
          <x:t xml:space="preserve">스킬 사용 시 무작위 적에게 공격력 70% 추가 사격 2발을 발사합니다.</x:t>
        </x:is>
      </x:c>
    </x:row>
    <x:row r="81">
      <x:c r="A81" s="134" t="inlineStr">
        <x:is>
          <x:t xml:space="preserve">hero_57</x:t>
        </x:is>
      </x:c>
      <x:c r="B81" s="134" t="inlineStr">
        <x:is>
          <x:t xml:space="preserve">hero57_ricochet_r</x:t>
        </x:is>
      </x:c>
      <x:c r="C81" s="134" t="inlineStr">
        <x:is>
          <x:t xml:space="preserve">Rare</x:t>
        </x:is>
      </x:c>
      <x:c r="D81" s="134" t="inlineStr">
        <x:is>
          <x:t xml:space="preserve">레어</x:t>
        </x:is>
      </x:c>
      <x:c r="E81" s="134" t="inlineStr">
        <x:is>
          <x:t xml:space="preserve">파손 탄창 난사</x:t>
        </x:is>
      </x:c>
      <x:c r="F81" s="134" t="inlineStr">
        <x:is>
          <x:t xml:space="preserve">스킬 사용 시 무작위 적에게 공격력 80% 추가 사격 4발을 발사합니다. 같은 적을 다시 맞힐 수 있습니다.</x:t>
        </x:is>
      </x:c>
    </x:row>
    <x:row r="82">
      <x:c r="A82" s="134" t="inlineStr">
        <x:is>
          <x:t xml:space="preserve">hero_57</x:t>
        </x:is>
      </x:c>
      <x:c r="B82" s="134" t="inlineStr">
        <x:is>
          <x:t xml:space="preserve">hero57_chaos_mag_m</x:t>
        </x:is>
      </x:c>
      <x:c r="C82" s="134" t="inlineStr">
        <x:is>
          <x:t xml:space="preserve">Mythic</x:t>
        </x:is>
      </x:c>
      <x:c r="D82" s="134" t="inlineStr">
        <x:is>
          <x:t xml:space="preserve">신화급</x:t>
        </x:is>
      </x:c>
      <x:c r="E82" s="134" t="inlineStr">
        <x:is>
          <x:t xml:space="preserve">혼돈 탄창</x:t>
        </x:is>
      </x:c>
      <x:c r="F82" s="134" t="inlineStr">
        <x:is>
          <x:t xml:space="preserve">스킬 사용 시 무작위 적에게 공격력 90% 추가 사격 6발을 발사합니다. 같은 적을 다시 맞힐 수 있습니다.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00C55A11"/>
  </x:sheetPr>
  <x:sheetViews>
    <x:sheetView showGridLines="0" workbookViewId="0"/>
  </x:sheetViews>
  <x:sheetFormatPr baseColWidth="8" defaultRowHeight="15"/>
  <x:cols>
    <x:col min="1" max="1" width="8" customWidth="1"/>
    <x:col min="2" max="2" width="11" customWidth="1"/>
    <x:col min="3" max="3" width="31" customWidth="1"/>
    <x:col min="4" max="4" width="10" customWidth="1"/>
    <x:col min="5" max="5" width="10" customWidth="1"/>
    <x:col min="6" max="6" width="10" customWidth="1"/>
    <x:col min="7" max="7" width="10" customWidth="1"/>
    <x:col min="8" max="8" width="11" customWidth="1"/>
    <x:col min="9" max="9" width="17" customWidth="1"/>
    <x:col min="10" max="10" width="10" customWidth="1"/>
    <x:col min="11" max="11" width="10" customWidth="1"/>
    <x:col min="12" max="12" width="15" customWidth="1"/>
    <x:col min="13" max="13" width="34" customWidth="1"/>
    <x:col min="14" max="14" width="48" customWidth="1"/>
    <x:col min="15" max="15" width="10" customWidth="1"/>
    <x:col min="16" max="16" width="20" customWidth="1"/>
    <x:col min="17" max="17" width="21" customWidth="1"/>
    <x:col min="18" max="18" width="42" customWidth="1"/>
    <x:col min="19" max="19" width="30" customWidth="1"/>
    <x:col min="20" max="20" width="9" customWidth="1"/>
    <x:col min="21" max="21" width="15" customWidth="1"/>
    <x:col min="22" max="22" width="34" customWidth="1"/>
    <x:col min="23" max="23" width="22" customWidth="1"/>
    <x:col min="24" max="24" width="60" customWidth="1"/>
  </x:cols>
  <x:sheetData>
    <x:row r="1" ht="30" customHeight="1">
      <x:c r="A1" s="43" t="inlineStr">
        <x:is>
          <x:t xml:space="preserve">몬스터 전투·스킬 설정 - 런타임 기준</x:t>
        </x:is>
      </x:c>
    </x:row>
    <x:row r="2" ht="32" customHeight="1">
      <x:c r="A2" s="102" t="inlineStr">
        <x:is>
          <x:t xml:space="preserve">2026-07-23 런타임 기준. 원거리 평타 최대 3m, 반격 가능한 유닛이 없으면 추가 접근. mob_10 Boss_Slime과 mob_11 Boss_TurtleShell은 프리팹 이름과 달리 일반 근거리 몬스터이며, 각각 R30·R40부터 일반 몬스터 풀에 합류합니다.</x:t>
        </x:is>
      </x:c>
    </x:row>
    <x:row r="4" ht="44" customHeight="1">
      <x:c r="A4" s="45" t="inlineStr">
        <x:is>
          <x:t xml:space="preserve">구분</x:t>
        </x:is>
      </x:c>
      <x:c r="B4" s="45" t="inlineStr">
        <x:is>
          <x:t xml:space="preserve">몬스터 ID</x:t>
        </x:is>
      </x:c>
      <x:c r="C4" s="45" t="inlineStr">
        <x:is>
          <x:t xml:space="preserve">프리팹</x:t>
        </x:is>
      </x:c>
      <x:c r="D4" s="45" t="inlineStr">
        <x:is>
          <x:t xml:space="preserve">역할</x:t>
        </x:is>
      </x:c>
      <x:c r="E4" s="45" t="inlineStr">
        <x:is>
          <x:t xml:space="preserve">첫 등장 R</x:t>
        </x:is>
      </x:c>
      <x:c r="F4" s="45" t="inlineStr">
        <x:is>
          <x:t xml:space="preserve">공격 타입</x:t>
        </x:is>
      </x:c>
      <x:c r="G4" s="45" t="inlineStr">
        <x:is>
          <x:t xml:space="preserve">사거리(m)</x:t>
        </x:is>
      </x:c>
      <x:c r="H4" s="45" t="inlineStr">
        <x:is>
          <x:t xml:space="preserve">HP(Lv1)</x:t>
        </x:is>
      </x:c>
      <x:c r="I4" s="45" t="inlineStr">
        <x:is>
          <x:t xml:space="preserve">ATK/평타피해(Lv1)</x:t>
        </x:is>
      </x:c>
      <x:c r="J4" s="45" t="inlineStr">
        <x:is>
          <x:t xml:space="preserve">공격속도</x:t>
        </x:is>
      </x:c>
      <x:c r="K4" s="45" t="inlineStr">
        <x:is>
          <x:t xml:space="preserve">이동속도</x:t>
        </x:is>
      </x:c>
      <x:c r="L4" s="45" t="inlineStr">
        <x:is>
          <x:t xml:space="preserve">평타 이벤트</x:t>
        </x:is>
      </x:c>
      <x:c r="M4" s="45" t="inlineStr">
        <x:is>
          <x:t xml:space="preserve">투사체/속도</x:t>
        </x:is>
      </x:c>
      <x:c r="N4" s="45" t="inlineStr">
        <x:is>
          <x:t xml:space="preserve">평타 FX(발사/타격)</x:t>
        </x:is>
      </x:c>
      <x:c r="O4" s="45" t="inlineStr">
        <x:is>
          <x:t xml:space="preserve">스킬 슬롯</x:t>
        </x:is>
      </x:c>
      <x:c r="P4" s="45" t="inlineStr">
        <x:is>
          <x:t xml:space="preserve">스킬명</x:t>
        </x:is>
      </x:c>
      <x:c r="Q4" s="45" t="inlineStr">
        <x:is>
          <x:t xml:space="preserve">효과 타입</x:t>
        </x:is>
      </x:c>
      <x:c r="R4" s="45" t="inlineStr">
        <x:is>
          <x:t xml:space="preserve">효과 설명</x:t>
        </x:is>
      </x:c>
      <x:c r="S4" s="45" t="inlineStr">
        <x:is>
          <x:t xml:space="preserve">핵심 수치</x:t>
        </x:is>
      </x:c>
      <x:c r="T4" s="45" t="inlineStr">
        <x:is>
          <x:t xml:space="preserve">계수</x:t>
        </x:is>
      </x:c>
      <x:c r="U4" s="45" t="inlineStr">
        <x:is>
          <x:t xml:space="preserve">스킬 피해(Lv1)</x:t>
        </x:is>
      </x:c>
      <x:c r="V4" s="45" t="inlineStr">
        <x:is>
          <x:t xml:space="preserve">대상/지속/범위</x:t>
        </x:is>
      </x:c>
      <x:c r="W4" s="45" t="inlineStr">
        <x:is>
          <x:t xml:space="preserve">마나/쿨다운</x:t>
        </x:is>
      </x:c>
      <x:c r="X4" s="45" t="inlineStr">
        <x:is>
          <x:t xml:space="preserve">스킬 이벤트/FX</x:t>
        </x:is>
      </x:c>
    </x:row>
    <x:row r="5" ht="72" customHeight="1">
      <x:c r="A5" s="46" t="inlineStr">
        <x:is>
          <x:t xml:space="preserve">보스</x:t>
        </x:is>
      </x:c>
      <x:c r="B5" s="46" t="inlineStr">
        <x:is>
          <x:t xml:space="preserve">mob_01</x:t>
        </x:is>
      </x:c>
      <x:c r="C5" s="46" t="inlineStr">
        <x:is>
          <x:t xml:space="preserve">Boss_Golem</x:t>
        </x:is>
      </x:c>
      <x:c r="D5" s="46" t="inlineStr">
        <x:is>
          <x:t xml:space="preserve">Boss</x:t>
        </x:is>
      </x:c>
      <x:c r="E5" s="47" t="n">
        <x:v>10</x:v>
      </x:c>
      <x:c r="F5" s="46" t="inlineStr">
        <x:is>
          <x:t xml:space="preserve">근거리</x:t>
        </x:is>
      </x:c>
      <x:c r="G5" s="48" t="n">
        <x:v>2.6</x:v>
      </x:c>
      <x:c r="H5" s="48" t="n">
        <x:v>940</x:v>
      </x:c>
      <x:c r="I5" s="48" t="n">
        <x:v>20</x:v>
      </x:c>
      <x:c r="J5" s="49" t="n">
        <x:v>0.88</x:v>
      </x:c>
      <x:c r="K5" s="50" t="n">
        <x:v>1.15</x:v>
      </x:c>
      <x:c r="L5" s="46" t="inlineStr">
        <x:is>
          <x:t xml:space="preserve">AttackHit</x:t>
        </x:is>
      </x:c>
      <x:c r="M5" s="46" t="inlineStr">
        <x:is>
          <x:t xml:space="preserve">-</x:t>
        </x:is>
      </x:c>
      <x:c r="N5" s="46" t="inlineStr">
        <x:is>
          <x:t xml:space="preserve">발사: Effect_Boss_Golem_Attack01 / 타격: Effect_Boss_Golem_Attack02</x:t>
        </x:is>
      </x:c>
      <x:c r="O5" s="47" t="n">
        <x:v>1</x:v>
      </x:c>
      <x:c r="P5" s="46" t="inlineStr">
        <x:is>
          <x:t xml:space="preserve">대지 균열</x:t>
        </x:is>
      </x:c>
      <x:c r="Q5" s="46" t="inlineStr">
        <x:is>
          <x:t xml:space="preserve">MassStun</x:t>
        </x:is>
      </x:c>
      <x:c r="R5" s="46" t="inlineStr">
        <x:is>
          <x:t xml:space="preserve">무작위 유닛 2기에 공격력 85% 피해를 주고 짧게 기절시킵니다.</x:t>
        </x:is>
      </x:c>
      <x:c r="S5" s="46" t="inlineStr">
        <x:is>
          <x:t xml:space="preserve">공격력 85%, 무작위 2기, 기절 1.45초</x:t>
        </x:is>
      </x:c>
      <x:c r="T5" s="51" t="n">
        <x:v>0.85</x:v>
      </x:c>
      <x:c r="U5" s="48" t="n">
        <x:f>IF(OR(Q5="DirectDamage",Q5="AreaDamage",Q5="MassStun"),I5*T5,"")</x:f>
        <x:v>17</x:v>
      </x:c>
      <x:c r="V5" s="46" t="inlineStr">
        <x:is>
          <x:t xml:space="preserve">전체 전장 / 대상 2 / 기절 1.45초</x:t>
        </x:is>
      </x:c>
      <x:c r="W5" s="46" t="inlineStr">
        <x:is>
          <x:t xml:space="preserve">마나 82 / CD 8.5초</x:t>
        </x:is>
      </x:c>
      <x:c r="X5" s="46" t="inlineStr">
        <x:is>
          <x:t xml:space="preserve">SkillHit / 캐스트: Effect_Boss_Golem_Skill02_Start / 히트: Effect_Boss_Golem_Skill01 / 범위: Effect_Boss_Golem_Skill01</x:t>
        </x:is>
      </x:c>
    </x:row>
    <x:row r="6" ht="72" customHeight="1">
      <x:c r="A6" s="46" t="inlineStr">
        <x:is>
          <x:t xml:space="preserve">보스</x:t>
        </x:is>
      </x:c>
      <x:c r="B6" s="46" t="inlineStr">
        <x:is>
          <x:t xml:space="preserve">mob_01</x:t>
        </x:is>
      </x:c>
      <x:c r="C6" s="46" t="inlineStr">
        <x:is>
          <x:t xml:space="preserve">Boss_Golem</x:t>
        </x:is>
      </x:c>
      <x:c r="D6" s="46" t="inlineStr">
        <x:is>
          <x:t xml:space="preserve">Boss</x:t>
        </x:is>
      </x:c>
      <x:c r="E6" s="47" t="n">
        <x:v>10</x:v>
      </x:c>
      <x:c r="F6" s="46" t="inlineStr">
        <x:is>
          <x:t xml:space="preserve">근거리</x:t>
        </x:is>
      </x:c>
      <x:c r="G6" s="48" t="n">
        <x:v>2.6</x:v>
      </x:c>
      <x:c r="H6" s="48" t="n">
        <x:v>940</x:v>
      </x:c>
      <x:c r="I6" s="48" t="n">
        <x:v>20</x:v>
      </x:c>
      <x:c r="J6" s="49" t="n">
        <x:v>0.88</x:v>
      </x:c>
      <x:c r="K6" s="50" t="n">
        <x:v>1.15</x:v>
      </x:c>
      <x:c r="L6" s="46" t="inlineStr">
        <x:is>
          <x:t xml:space="preserve">AttackHit</x:t>
        </x:is>
      </x:c>
      <x:c r="M6" s="46" t="inlineStr">
        <x:is>
          <x:t xml:space="preserve">-</x:t>
        </x:is>
      </x:c>
      <x:c r="N6" s="46" t="inlineStr">
        <x:is>
          <x:t xml:space="preserve">발사: Effect_Boss_Golem_Attack01 / 타격: Effect_Boss_Golem_Attack02</x:t>
        </x:is>
      </x:c>
      <x:c r="O6" s="47" t="n">
        <x:v>2</x:v>
      </x:c>
      <x:c r="P6" s="46" t="inlineStr">
        <x:is>
          <x:t xml:space="preserve">암석 방벽</x:t>
        </x:is>
      </x:c>
      <x:c r="Q6" s="46" t="inlineStr">
        <x:is>
          <x:t xml:space="preserve">BossFortify</x:t>
        </x:is>
      </x:c>
      <x:c r="R6" s="46" t="inlineStr">
        <x:is>
          <x:t xml:space="preserve">체력을 10% 회복하고 잠시 공격 속도를 높입니다.</x:t>
        </x:is>
      </x:c>
      <x:c r="S6" s="46" t="inlineStr">
        <x:is>
          <x:t xml:space="preserve">최대 HP 10% 회복, 4.5초 강화</x:t>
        </x:is>
      </x:c>
      <x:c r="T6" s="51" t="n">
        <x:v>0.1</x:v>
      </x:c>
      <x:c r="U6" s="48" t="str">
        <x:f>IF(OR(Q6="DirectDamage",Q6="AreaDamage",Q6="MassStun"),I6*T6,"")</x:f>
      </x:c>
      <x:c r="V6" s="46" t="inlineStr">
        <x:is>
          <x:t xml:space="preserve">자신 / 지속 4.5초 / 범위 -</x:t>
        </x:is>
      </x:c>
      <x:c r="W6" s="46" t="inlineStr">
        <x:is>
          <x:t xml:space="preserve">마나 95 / CD 9.5초</x:t>
        </x:is>
      </x:c>
      <x:c r="X6" s="46" t="inlineStr">
        <x:is>
          <x:t xml:space="preserve">SkillHit / 캐스트: Effect_Boss_Golem_Skill02_Start / 히트: Effect_Boss_Golem_Skill02_Shield_Hit / 범위: Effect_Boss_Golem_Skill02_Shield</x:t>
        </x:is>
      </x:c>
    </x:row>
    <x:row r="7" ht="72" customHeight="1">
      <x:c r="A7" s="46" t="inlineStr">
        <x:is>
          <x:t xml:space="preserve">일반</x:t>
        </x:is>
      </x:c>
      <x:c r="B7" s="46" t="inlineStr">
        <x:is>
          <x:t xml:space="preserve">mob_02</x:t>
        </x:is>
      </x:c>
      <x:c r="C7" s="46" t="inlineStr">
        <x:is>
          <x:t xml:space="preserve">Boss_Golem_Minion_Type1</x:t>
        </x:is>
      </x:c>
      <x:c r="D7" s="46" t="inlineStr">
        <x:is>
          <x:t xml:space="preserve">Grunt</x:t>
        </x:is>
      </x:c>
      <x:c r="E7" s="47" t="n">
        <x:v>1</x:v>
      </x:c>
      <x:c r="F7" s="46" t="inlineStr">
        <x:is>
          <x:t xml:space="preserve">근거리</x:t>
        </x:is>
      </x:c>
      <x:c r="G7" s="48" t="n">
        <x:v>1.8</x:v>
      </x:c>
      <x:c r="H7" s="48" t="n">
        <x:v>42</x:v>
      </x:c>
      <x:c r="I7" s="48" t="n">
        <x:v>6.56</x:v>
      </x:c>
      <x:c r="J7" s="49" t="n">
        <x:v>0.82</x:v>
      </x:c>
      <x:c r="K7" s="50" t="n">
        <x:v>1.8</x:v>
      </x:c>
      <x:c r="L7" s="46" t="inlineStr">
        <x:is>
          <x:t xml:space="preserve">AttackHit</x:t>
        </x:is>
      </x:c>
      <x:c r="M7" s="46" t="inlineStr">
        <x:is>
          <x:t xml:space="preserve">-</x:t>
        </x:is>
      </x:c>
      <x:c r="N7" s="46" t="inlineStr">
        <x:is>
          <x:t xml:space="preserve">발사: Effect_Boss_Golem_Minion_Type1_Attack / 타격: Effect_Boss_Golem_Minion_Type1_Attack</x:t>
        </x:is>
      </x:c>
      <x:c r="O7" s="47" t="n">
        <x:v>1</x:v>
      </x:c>
      <x:c r="P7" s="46" t="inlineStr">
        <x:is>
          <x:t xml:space="preserve">Savage Strike</x:t>
        </x:is>
      </x:c>
      <x:c r="Q7" s="46" t="inlineStr">
        <x:is>
          <x:t xml:space="preserve">DirectDamage</x:t>
        </x:is>
      </x:c>
      <x:c r="R7" s="46" t="inlineStr">
        <x:is>
          <x:t xml:space="preserve">가장 가까운 유닛에게 강한 피해를 줍니다.</x:t>
        </x:is>
      </x:c>
      <x:c r="S7" s="46" t="inlineStr">
        <x:is>
          <x:t xml:space="preserve">공격력 170%, 시전 거리 3m</x:t>
        </x:is>
      </x:c>
      <x:c r="T7" s="51" t="n">
        <x:v>1.7</x:v>
      </x:c>
      <x:c r="U7" s="48" t="n">
        <x:f>IF(OR(Q7="DirectDamage",Q7="AreaDamage",Q7="MassStun"),I7*T7,"")</x:f>
        <x:v>11.152</x:v>
      </x:c>
      <x:c r="V7" s="46" t="inlineStr">
        <x:is>
          <x:t xml:space="preserve">대상 1 / 지속 - / 시전 3m</x:t>
        </x:is>
      </x:c>
      <x:c r="W7" s="46" t="inlineStr">
        <x:is>
          <x:t xml:space="preserve">마나 100 / CD 5초</x:t>
        </x:is>
      </x:c>
      <x:c r="X7" s="46" t="inlineStr">
        <x:is>
          <x:t xml:space="preserve">SkillHit / 캐스트: Effect_Boss_Golem_Minion_Type1_Skill01 / 히트: Effect_Boss_Golem_Minion_Type1_Skill01 / 범위: Effect_Boss_Golem_Minion_Type1_Skill01</x:t>
        </x:is>
      </x:c>
    </x:row>
    <x:row r="8" ht="72" customHeight="1">
      <x:c r="A8" s="46" t="inlineStr">
        <x:is>
          <x:t xml:space="preserve">일반</x:t>
        </x:is>
      </x:c>
      <x:c r="B8" s="46" t="inlineStr">
        <x:is>
          <x:t xml:space="preserve">mob_03</x:t>
        </x:is>
      </x:c>
      <x:c r="C8" s="46" t="inlineStr">
        <x:is>
          <x:t xml:space="preserve">Boss_Golem_Minion_Type2</x:t>
        </x:is>
      </x:c>
      <x:c r="D8" s="46" t="inlineStr">
        <x:is>
          <x:t xml:space="preserve">Grunt</x:t>
        </x:is>
      </x:c>
      <x:c r="E8" s="47" t="n">
        <x:v>1</x:v>
      </x:c>
      <x:c r="F8" s="46" t="inlineStr">
        <x:is>
          <x:t xml:space="preserve">근거리</x:t>
        </x:is>
      </x:c>
      <x:c r="G8" s="48" t="n">
        <x:v>1.9</x:v>
      </x:c>
      <x:c r="H8" s="48" t="n">
        <x:v>43.2</x:v>
      </x:c>
      <x:c r="I8" s="48" t="n">
        <x:v>6.56</x:v>
      </x:c>
      <x:c r="J8" s="49" t="n">
        <x:v>0.82</x:v>
      </x:c>
      <x:c r="K8" s="50" t="n">
        <x:v>0.9</x:v>
      </x:c>
      <x:c r="L8" s="46" t="inlineStr">
        <x:is>
          <x:t xml:space="preserve">AttackHit</x:t>
        </x:is>
      </x:c>
      <x:c r="M8" s="46" t="inlineStr">
        <x:is>
          <x:t xml:space="preserve">-</x:t>
        </x:is>
      </x:c>
      <x:c r="N8" s="46" t="inlineStr">
        <x:is>
          <x:t xml:space="preserve">발사: Effect_Boss_Golem_Minion_Type2_Attack / 타격: Effect_Boss_Golem_Minion_Type2_Attack</x:t>
        </x:is>
      </x:c>
      <x:c r="O8" s="47" t="n">
        <x:v>1</x:v>
      </x:c>
      <x:c r="P8" s="46" t="inlineStr">
        <x:is>
          <x:t xml:space="preserve">Rush</x:t>
        </x:is>
      </x:c>
      <x:c r="Q8" s="46" t="inlineStr">
        <x:is>
          <x:t xml:space="preserve">MoveSpeedBoost</x:t>
        </x:is>
      </x:c>
      <x:c r="R8" s="46" t="inlineStr">
        <x:is>
          <x:t xml:space="preserve">일시적으로 이동속도를 높입니다.</x:t>
        </x:is>
      </x:c>
      <x:c r="S8" s="46" t="inlineStr">
        <x:is>
          <x:t xml:space="preserve">이동속도 +50%, 4초</x:t>
        </x:is>
      </x:c>
      <x:c r="T8" s="51" t="n">
        <x:v>0.5</x:v>
      </x:c>
      <x:c r="U8" s="48" t="str">
        <x:f>IF(OR(Q8="DirectDamage",Q8="AreaDamage",Q8="MassStun"),I8*T8,"")</x:f>
      </x:c>
      <x:c r="V8" s="46" t="inlineStr">
        <x:is>
          <x:t xml:space="preserve">자신 / 지속 4초 / 범위 -</x:t>
        </x:is>
      </x:c>
      <x:c r="W8" s="46" t="inlineStr">
        <x:is>
          <x:t xml:space="preserve">마나 100 / CD 9초</x:t>
        </x:is>
      </x:c>
      <x:c r="X8" s="46" t="inlineStr">
        <x:is>
          <x:t xml:space="preserve">SkillHit / 캐스트: Effect_Boss_Golem_Minion_Type2_Skill01 / 히트: Effect_Boss_Golem_Minion_Type2_Skill01 / 범위: Effect_Boss_Golem_Minion_Type2_Skill01</x:t>
        </x:is>
      </x:c>
    </x:row>
    <x:row r="9" ht="72" customHeight="1">
      <x:c r="A9" s="46" t="inlineStr">
        <x:is>
          <x:t xml:space="preserve">보스</x:t>
        </x:is>
      </x:c>
      <x:c r="B9" s="46" t="inlineStr">
        <x:is>
          <x:t xml:space="preserve">mob_04</x:t>
        </x:is>
      </x:c>
      <x:c r="C9" s="46" t="inlineStr">
        <x:is>
          <x:t xml:space="preserve">Boss_Leon</x:t>
        </x:is>
      </x:c>
      <x:c r="D9" s="46" t="inlineStr">
        <x:is>
          <x:t xml:space="preserve">Boss</x:t>
        </x:is>
      </x:c>
      <x:c r="E9" s="47" t="n">
        <x:v>10</x:v>
      </x:c>
      <x:c r="F9" s="46" t="inlineStr">
        <x:is>
          <x:t xml:space="preserve">근거리</x:t>
        </x:is>
      </x:c>
      <x:c r="G9" s="48" t="n">
        <x:v>2.4</x:v>
      </x:c>
      <x:c r="H9" s="48" t="n">
        <x:v>1265.6</x:v>
      </x:c>
      <x:c r="I9" s="48" t="n">
        <x:v>24.514</x:v>
      </x:c>
      <x:c r="J9" s="49" t="n">
        <x:v>0.8235</x:v>
      </x:c>
      <x:c r="K9" s="50" t="n">
        <x:v>1.1</x:v>
      </x:c>
      <x:c r="L9" s="46" t="inlineStr">
        <x:is>
          <x:t xml:space="preserve">AttackHit</x:t>
        </x:is>
      </x:c>
      <x:c r="M9" s="46" t="inlineStr">
        <x:is>
          <x:t xml:space="preserve">-</x:t>
        </x:is>
      </x:c>
      <x:c r="N9" s="46" t="inlineStr">
        <x:is>
          <x:t xml:space="preserve">발사: - / 타격: Effect_Boss_Leon_Attack01_Hit</x:t>
        </x:is>
      </x:c>
      <x:c r="O9" s="47" t="n">
        <x:v>1</x:v>
      </x:c>
      <x:c r="P9" s="46" t="inlineStr">
        <x:is>
          <x:t xml:space="preserve">죽음의 서약</x:t>
        </x:is>
      </x:c>
      <x:c r="Q9" s="46" t="inlineStr">
        <x:is>
          <x:t xml:space="preserve">DeathPact</x:t>
        </x:is>
      </x:c>
      <x:c r="R9" s="46" t="inlineStr">
        <x:is>
          <x:t xml:space="preserve">무작위 유닛 하나를 처형합니다.</x:t>
        </x:is>
      </x:c>
      <x:c r="S9" s="46" t="inlineStr">
        <x:is>
          <x:t xml:space="preserve">무작위 1기 처형, 명시적 전역기</x:t>
        </x:is>
      </x:c>
      <x:c r="T9" s="51" t="n">
        <x:v>0</x:v>
      </x:c>
      <x:c r="U9" s="48" t="str">
        <x:f>IF(OR(Q9="DirectDamage",Q9="AreaDamage",Q9="MassStun"),I9*T9,"")</x:f>
      </x:c>
      <x:c r="V9" s="46" t="inlineStr">
        <x:is>
          <x:t xml:space="preserve">전체 전장 / 대상 1 / 지속 -</x:t>
        </x:is>
      </x:c>
      <x:c r="W9" s="46" t="inlineStr">
        <x:is>
          <x:t xml:space="preserve">마나 100 / CD 14초</x:t>
        </x:is>
      </x:c>
      <x:c r="X9" s="46" t="inlineStr">
        <x:is>
          <x:t xml:space="preserve">SkillHit / 캐스트: Effect_Boss_Leon_Skill01 / 히트: Effect_Boss_Leon_Skill01_Hit / 범위: Effect_Boss_Leon_Skill01</x:t>
        </x:is>
      </x:c>
    </x:row>
    <x:row r="10" ht="72" customHeight="1">
      <x:c r="A10" s="46" t="inlineStr">
        <x:is>
          <x:t xml:space="preserve">보스</x:t>
        </x:is>
      </x:c>
      <x:c r="B10" s="46" t="inlineStr">
        <x:is>
          <x:t xml:space="preserve">mob_04</x:t>
        </x:is>
      </x:c>
      <x:c r="C10" s="46" t="inlineStr">
        <x:is>
          <x:t xml:space="preserve">Boss_Leon</x:t>
        </x:is>
      </x:c>
      <x:c r="D10" s="46" t="inlineStr">
        <x:is>
          <x:t xml:space="preserve">Boss</x:t>
        </x:is>
      </x:c>
      <x:c r="E10" s="47" t="n">
        <x:v>10</x:v>
      </x:c>
      <x:c r="F10" s="46" t="inlineStr">
        <x:is>
          <x:t xml:space="preserve">근거리</x:t>
        </x:is>
      </x:c>
      <x:c r="G10" s="48" t="n">
        <x:v>2.4</x:v>
      </x:c>
      <x:c r="H10" s="48" t="n">
        <x:v>1265.6</x:v>
      </x:c>
      <x:c r="I10" s="48" t="n">
        <x:v>24.514</x:v>
      </x:c>
      <x:c r="J10" s="49" t="n">
        <x:v>0.8235</x:v>
      </x:c>
      <x:c r="K10" s="50" t="n">
        <x:v>1.1</x:v>
      </x:c>
      <x:c r="L10" s="46" t="inlineStr">
        <x:is>
          <x:t xml:space="preserve">AttackHit</x:t>
        </x:is>
      </x:c>
      <x:c r="M10" s="46" t="inlineStr">
        <x:is>
          <x:t xml:space="preserve">-</x:t>
        </x:is>
      </x:c>
      <x:c r="N10" s="46" t="inlineStr">
        <x:is>
          <x:t xml:space="preserve">발사: - / 타격: Effect_Boss_Leon_Attack01_Hit</x:t>
        </x:is>
      </x:c>
      <x:c r="O10" s="47" t="n">
        <x:v>2</x:v>
      </x:c>
      <x:c r="P10" s="46" t="inlineStr">
        <x:is>
          <x:t xml:space="preserve">여왕의 속박</x:t>
        </x:is>
      </x:c>
      <x:c r="Q10" s="46" t="inlineStr">
        <x:is>
          <x:t xml:space="preserve">Stun</x:t>
        </x:is>
      </x:c>
      <x:c r="R10" s="46" t="inlineStr">
        <x:is>
          <x:t xml:space="preserve">가장 가까운 유닛을 기절시킵니다.</x:t>
        </x:is>
      </x:c>
      <x:c r="S10" s="46" t="inlineStr">
        <x:is>
          <x:t xml:space="preserve">기절 2.4초, 시전 거리 3m</x:t>
        </x:is>
      </x:c>
      <x:c r="T10" s="51" t="n">
        <x:v>0</x:v>
      </x:c>
      <x:c r="U10" s="48" t="str">
        <x:f>IF(OR(Q10="DirectDamage",Q10="AreaDamage",Q10="MassStun"),I10*T10,"")</x:f>
      </x:c>
      <x:c r="V10" s="46" t="inlineStr">
        <x:is>
          <x:t xml:space="preserve">대상 1 / 기절 2.4초 / 시전 3m</x:t>
        </x:is>
      </x:c>
      <x:c r="W10" s="46" t="inlineStr">
        <x:is>
          <x:t xml:space="preserve">마나 75 / CD 7초</x:t>
        </x:is>
      </x:c>
      <x:c r="X10" s="46" t="inlineStr">
        <x:is>
          <x:t xml:space="preserve">SkillHit / 캐스트: Effect_Boss_Leon_Phase2 / 히트: Effect_Boss_Leon_Attack02_Hit / 범위: Effect_Boss_Leon_Phase2_loop</x:t>
        </x:is>
      </x:c>
    </x:row>
    <x:row r="11" ht="72" customHeight="1">
      <x:c r="A11" s="46" t="inlineStr">
        <x:is>
          <x:t xml:space="preserve">일반</x:t>
        </x:is>
      </x:c>
      <x:c r="B11" s="46" t="inlineStr">
        <x:is>
          <x:t xml:space="preserve">mob_05</x:t>
        </x:is>
      </x:c>
      <x:c r="C11" s="46" t="inlineStr">
        <x:is>
          <x:t xml:space="preserve">Boss_Leon_Minion_Type1</x:t>
        </x:is>
      </x:c>
      <x:c r="D11" s="46" t="inlineStr">
        <x:is>
          <x:t xml:space="preserve">Caster</x:t>
        </x:is>
      </x:c>
      <x:c r="E11" s="47" t="n">
        <x:v>10</x:v>
      </x:c>
      <x:c r="F11" s="46" t="inlineStr">
        <x:is>
          <x:t xml:space="preserve">원거리</x:t>
        </x:is>
      </x:c>
      <x:c r="G11" s="48" t="n">
        <x:v>3</x:v>
      </x:c>
      <x:c r="H11" s="48" t="n">
        <x:v>44.4</x:v>
      </x:c>
      <x:c r="I11" s="48" t="n">
        <x:v>6.56</x:v>
      </x:c>
      <x:c r="J11" s="49" t="n">
        <x:v>0.82</x:v>
      </x:c>
      <x:c r="K11" s="50" t="n">
        <x:v>1.35</x:v>
      </x:c>
      <x:c r="L11" s="46" t="inlineStr">
        <x:is>
          <x:t xml:space="preserve">FireProjectile</x:t>
        </x:is>
      </x:c>
      <x:c r="M11" s="46" t="inlineStr">
        <x:is>
          <x:t xml:space="preserve">Effect_Boss_Leon_Minion_Type1_Projectile / 9.5m/s</x:t>
        </x:is>
      </x:c>
      <x:c r="N11" s="46" t="inlineStr">
        <x:is>
          <x:t xml:space="preserve">발사: Effect_Boss_Leon_Minion_Type1_Attack / 타격: Effect_Boss_Leon_Minion_Type1_Attack_Hit</x:t>
        </x:is>
      </x:c>
      <x:c r="O11" s="47" t="n">
        <x:v>1</x:v>
      </x:c>
      <x:c r="P11" s="46" t="inlineStr">
        <x:is>
          <x:t xml:space="preserve">Crushing Grip</x:t>
        </x:is>
      </x:c>
      <x:c r="Q11" s="46" t="inlineStr">
        <x:is>
          <x:t xml:space="preserve">Stun</x:t>
        </x:is>
      </x:c>
      <x:c r="R11" s="46" t="inlineStr">
        <x:is>
          <x:t xml:space="preserve">유닛 하나를 짧게 기절시킵니다.</x:t>
        </x:is>
      </x:c>
      <x:c r="S11" s="46" t="inlineStr">
        <x:is>
          <x:t xml:space="preserve">기절 1.15초, 시전 거리 3m</x:t>
        </x:is>
      </x:c>
      <x:c r="T11" s="51" t="n">
        <x:v>0</x:v>
      </x:c>
      <x:c r="U11" s="48" t="str">
        <x:f>IF(OR(Q11="DirectDamage",Q11="AreaDamage",Q11="MassStun"),I11*T11,"")</x:f>
      </x:c>
      <x:c r="V11" s="46" t="inlineStr">
        <x:is>
          <x:t xml:space="preserve">대상 1 / 기절 1.15초 / 시전 3m</x:t>
        </x:is>
      </x:c>
      <x:c r="W11" s="46" t="inlineStr">
        <x:is>
          <x:t xml:space="preserve">마나 100 / CD 9초</x:t>
        </x:is>
      </x:c>
      <x:c r="X11" s="46" t="inlineStr">
        <x:is>
          <x:t xml:space="preserve">SkillHit / 캐스트: Effect_Boss_Leon_Minion_Type1_Skill01_Start / 히트: Effect_Boss_Leon_Minion_Type1_Attack_Hit / 범위: Effect_Boss_Leon_Minion_Type1_Skill01_Bg</x:t>
        </x:is>
      </x:c>
    </x:row>
    <x:row r="12" ht="72" customHeight="1">
      <x:c r="A12" s="46" t="inlineStr">
        <x:is>
          <x:t xml:space="preserve">일반</x:t>
        </x:is>
      </x:c>
      <x:c r="B12" s="46" t="inlineStr">
        <x:is>
          <x:t xml:space="preserve">mob_06</x:t>
        </x:is>
      </x:c>
      <x:c r="C12" s="46" t="inlineStr">
        <x:is>
          <x:t xml:space="preserve">Boss_Leon_Minion_Type2</x:t>
        </x:is>
      </x:c>
      <x:c r="D12" s="46" t="inlineStr">
        <x:is>
          <x:t xml:space="preserve">Grunt</x:t>
        </x:is>
      </x:c>
      <x:c r="E12" s="47" t="n">
        <x:v>10</x:v>
      </x:c>
      <x:c r="F12" s="46" t="inlineStr">
        <x:is>
          <x:t xml:space="preserve">근거리</x:t>
        </x:is>
      </x:c>
      <x:c r="G12" s="48" t="n">
        <x:v>1.8</x:v>
      </x:c>
      <x:c r="H12" s="48" t="n">
        <x:v>45.6</x:v>
      </x:c>
      <x:c r="I12" s="48" t="n">
        <x:v>6.56</x:v>
      </x:c>
      <x:c r="J12" s="49" t="n">
        <x:v>0.82</x:v>
      </x:c>
      <x:c r="K12" s="50" t="n">
        <x:v>1.2</x:v>
      </x:c>
      <x:c r="L12" s="46" t="inlineStr">
        <x:is>
          <x:t xml:space="preserve">AttackHit</x:t>
        </x:is>
      </x:c>
      <x:c r="M12" s="46" t="inlineStr">
        <x:is>
          <x:t xml:space="preserve">-</x:t>
        </x:is>
      </x:c>
      <x:c r="N12" s="46" t="inlineStr">
        <x:is>
          <x:t xml:space="preserve">발사: Effect_Boss_Leon_Minion_Type2_Attack / 타격: Effect_Boss_Leon_Minion_Type2_Attack</x:t>
        </x:is>
      </x:c>
      <x:c r="O12" s="47" t="n">
        <x:v>1</x:v>
      </x:c>
      <x:c r="P12" s="46" t="inlineStr">
        <x:is>
          <x:t xml:space="preserve">Savage Strike</x:t>
        </x:is>
      </x:c>
      <x:c r="Q12" s="46" t="inlineStr">
        <x:is>
          <x:t xml:space="preserve">DirectDamage</x:t>
        </x:is>
      </x:c>
      <x:c r="R12" s="46" t="inlineStr">
        <x:is>
          <x:t xml:space="preserve">가장 가까운 유닛에게 강한 피해를 줍니다.</x:t>
        </x:is>
      </x:c>
      <x:c r="S12" s="46" t="inlineStr">
        <x:is>
          <x:t xml:space="preserve">공격력 170%, 시전 거리 3m</x:t>
        </x:is>
      </x:c>
      <x:c r="T12" s="51" t="n">
        <x:v>1.7</x:v>
      </x:c>
      <x:c r="U12" s="48" t="n">
        <x:f>IF(OR(Q12="DirectDamage",Q12="AreaDamage",Q12="MassStun"),I12*T12,"")</x:f>
        <x:v>11.152</x:v>
      </x:c>
      <x:c r="V12" s="46" t="inlineStr">
        <x:is>
          <x:t xml:space="preserve">대상 1 / 지속 - / 시전 3m</x:t>
        </x:is>
      </x:c>
      <x:c r="W12" s="46" t="inlineStr">
        <x:is>
          <x:t xml:space="preserve">마나 100 / CD 5초</x:t>
        </x:is>
      </x:c>
      <x:c r="X12" s="46" t="inlineStr">
        <x:is>
          <x:t xml:space="preserve">SkillHit / 캐스트: Effect_Boss_Leon_Minion_Type2_Skill01_Start / 히트: Effect_Boss_Leon_Minion_Type2_Skill01_Loop / 범위: Effect_Boss_Leon_Minion_Type2_Skill01_Loop</x:t>
        </x:is>
      </x:c>
    </x:row>
    <x:row r="13" ht="72" customHeight="1">
      <x:c r="A13" s="46" t="inlineStr">
        <x:is>
          <x:t xml:space="preserve">보스</x:t>
        </x:is>
      </x:c>
      <x:c r="B13" s="46" t="inlineStr">
        <x:is>
          <x:t xml:space="preserve">mob_07</x:t>
        </x:is>
      </x:c>
      <x:c r="C13" s="46" t="inlineStr">
        <x:is>
          <x:t xml:space="preserve">Boss_Magician</x:t>
        </x:is>
      </x:c>
      <x:c r="D13" s="46" t="inlineStr">
        <x:is>
          <x:t xml:space="preserve">Boss</x:t>
        </x:is>
      </x:c>
      <x:c r="E13" s="47" t="n">
        <x:v>20</x:v>
      </x:c>
      <x:c r="F13" s="46" t="inlineStr">
        <x:is>
          <x:t xml:space="preserve">원거리</x:t>
        </x:is>
      </x:c>
      <x:c r="G13" s="48" t="n">
        <x:v>3</x:v>
      </x:c>
      <x:c r="H13" s="48" t="n">
        <x:v>1452</x:v>
      </x:c>
      <x:c r="I13" s="48" t="n">
        <x:v>27.6</x:v>
      </x:c>
      <x:c r="J13" s="49" t="n">
        <x:v>0.95</x:v>
      </x:c>
      <x:c r="K13" s="50" t="n">
        <x:v>1.9</x:v>
      </x:c>
      <x:c r="L13" s="46" t="inlineStr">
        <x:is>
          <x:t xml:space="preserve">FireProjectile</x:t>
        </x:is>
      </x:c>
      <x:c r="M13" s="46" t="inlineStr">
        <x:is>
          <x:t xml:space="preserve">Effect_Boss_Magician_Projectile / 8.5m/s</x:t>
        </x:is>
      </x:c>
      <x:c r="N13" s="46" t="inlineStr">
        <x:is>
          <x:t xml:space="preserve">발사: Effect_Boss_Magician_Attack01 / 타격: Effect_Boss_Magician_Attack02</x:t>
        </x:is>
      </x:c>
      <x:c r="O13" s="47" t="n">
        <x:v>1</x:v>
      </x:c>
      <x:c r="P13" s="46" t="inlineStr">
        <x:is>
          <x:t xml:space="preserve">운석 낙하</x:t>
        </x:is>
      </x:c>
      <x:c r="Q13" s="46" t="inlineStr">
        <x:is>
          <x:t xml:space="preserve">AreaDamage</x:t>
        </x:is>
      </x:c>
      <x:c r="R13" s="46" t="inlineStr">
        <x:is>
          <x:t xml:space="preserve">주변 유닛에게 공격력 125%의 광역 피해를 줍니다.</x:t>
        </x:is>
      </x:c>
      <x:c r="S13" s="46" t="inlineStr">
        <x:is>
          <x:t xml:space="preserve">공격력 125%, 반경 4m</x:t>
        </x:is>
      </x:c>
      <x:c r="T13" s="51" t="n">
        <x:v>1.25</x:v>
      </x:c>
      <x:c r="U13" s="48" t="n">
        <x:f>IF(OR(Q13="DirectDamage",Q13="AreaDamage",Q13="MassStun"),I13*T13,"")</x:f>
        <x:v>34.5</x:v>
      </x:c>
      <x:c r="V13" s="46" t="inlineStr">
        <x:is>
          <x:t xml:space="preserve">반경 4m / 범위 안 유닛이 있을 때만 발동</x:t>
        </x:is>
      </x:c>
      <x:c r="W13" s="46" t="inlineStr">
        <x:is>
          <x:t xml:space="preserve">마나 80 / CD 9.5초</x:t>
        </x:is>
      </x:c>
      <x:c r="X13" s="46" t="inlineStr">
        <x:is>
          <x:t xml:space="preserve">SkillHit / 캐스트: Effect_Boss_Magician_Skill01_meteor Start / 히트: Effect_Boss_Magician_Skill01_meteor Hit / 범위: Effect_Boss_Magician_Skill01_meteor</x:t>
        </x:is>
      </x:c>
    </x:row>
    <x:row r="14" ht="72" customHeight="1">
      <x:c r="A14" s="46" t="inlineStr">
        <x:is>
          <x:t xml:space="preserve">보스</x:t>
        </x:is>
      </x:c>
      <x:c r="B14" s="46" t="inlineStr">
        <x:is>
          <x:t xml:space="preserve">mob_07</x:t>
        </x:is>
      </x:c>
      <x:c r="C14" s="46" t="inlineStr">
        <x:is>
          <x:t xml:space="preserve">Boss_Magician</x:t>
        </x:is>
      </x:c>
      <x:c r="D14" s="46" t="inlineStr">
        <x:is>
          <x:t xml:space="preserve">Boss</x:t>
        </x:is>
      </x:c>
      <x:c r="E14" s="47" t="n">
        <x:v>20</x:v>
      </x:c>
      <x:c r="F14" s="46" t="inlineStr">
        <x:is>
          <x:t xml:space="preserve">원거리</x:t>
        </x:is>
      </x:c>
      <x:c r="G14" s="48" t="n">
        <x:v>3</x:v>
      </x:c>
      <x:c r="H14" s="48" t="n">
        <x:v>1452</x:v>
      </x:c>
      <x:c r="I14" s="48" t="n">
        <x:v>27.6</x:v>
      </x:c>
      <x:c r="J14" s="49" t="n">
        <x:v>0.95</x:v>
      </x:c>
      <x:c r="K14" s="50" t="n">
        <x:v>1.9</x:v>
      </x:c>
      <x:c r="L14" s="46" t="inlineStr">
        <x:is>
          <x:t xml:space="preserve">FireProjectile</x:t>
        </x:is>
      </x:c>
      <x:c r="M14" s="46" t="inlineStr">
        <x:is>
          <x:t xml:space="preserve">Effect_Boss_Magician_Projectile / 8.5m/s</x:t>
        </x:is>
      </x:c>
      <x:c r="N14" s="46" t="inlineStr">
        <x:is>
          <x:t xml:space="preserve">발사: Effect_Boss_Magician_Attack01 / 타격: Effect_Boss_Magician_Attack02</x:t>
        </x:is>
      </x:c>
      <x:c r="O14" s="47" t="n">
        <x:v>2</x:v>
      </x:c>
      <x:c r="P14" s="46" t="inlineStr">
        <x:is>
          <x:t xml:space="preserve">마나 침식</x:t>
        </x:is>
      </x:c>
      <x:c r="Q14" s="46" t="inlineStr">
        <x:is>
          <x:t xml:space="preserve">ManaBurn</x:t>
        </x:is>
      </x:c>
      <x:c r="R14" s="46" t="inlineStr">
        <x:is>
          <x:t xml:space="preserve">무작위 유닛 3기의 마나를 45% 태웁니다.</x:t>
        </x:is>
      </x:c>
      <x:c r="S14" s="46" t="inlineStr">
        <x:is>
          <x:t xml:space="preserve">마나 45%, 무작위 3기, 명시적 전역기</x:t>
        </x:is>
      </x:c>
      <x:c r="T14" s="51" t="n">
        <x:v>0.45</x:v>
      </x:c>
      <x:c r="U14" s="48" t="str">
        <x:f>IF(OR(Q14="DirectDamage",Q14="AreaDamage",Q14="MassStun"),I14*T14,"")</x:f>
      </x:c>
      <x:c r="V14" s="46" t="inlineStr">
        <x:is>
          <x:t xml:space="preserve">전체 전장 / 대상 3 / 마나 45% 소각</x:t>
        </x:is>
      </x:c>
      <x:c r="W14" s="46" t="inlineStr">
        <x:is>
          <x:t xml:space="preserve">마나 92 / CD 9초</x:t>
        </x:is>
      </x:c>
      <x:c r="X14" s="46" t="inlineStr">
        <x:is>
          <x:t xml:space="preserve">SkillHit / 캐스트: Effect_Boss_Magician_Skill03 / 히트: Effect_Boss_Magician_Skill03_Hit / 범위: Effect_Boss_Magician_Skill03_Line</x:t>
        </x:is>
      </x:c>
    </x:row>
    <x:row r="15" ht="72" customHeight="1">
      <x:c r="A15" s="46" t="inlineStr">
        <x:is>
          <x:t xml:space="preserve">일반</x:t>
        </x:is>
      </x:c>
      <x:c r="B15" s="46" t="inlineStr">
        <x:is>
          <x:t xml:space="preserve">mob_08</x:t>
        </x:is>
      </x:c>
      <x:c r="C15" s="46" t="inlineStr">
        <x:is>
          <x:t xml:space="preserve">Boss_Magician_Minion_Type1</x:t>
        </x:is>
      </x:c>
      <x:c r="D15" s="46" t="inlineStr">
        <x:is>
          <x:t xml:space="preserve">Charger</x:t>
        </x:is>
      </x:c>
      <x:c r="E15" s="47" t="n">
        <x:v>20</x:v>
      </x:c>
      <x:c r="F15" s="46" t="inlineStr">
        <x:is>
          <x:t xml:space="preserve">근거리</x:t>
        </x:is>
      </x:c>
      <x:c r="G15" s="48" t="n">
        <x:v>1.5</x:v>
      </x:c>
      <x:c r="H15" s="48" t="n">
        <x:v>46.8</x:v>
      </x:c>
      <x:c r="I15" s="48" t="n">
        <x:v>6.56</x:v>
      </x:c>
      <x:c r="J15" s="49" t="n">
        <x:v>0.902</x:v>
      </x:c>
      <x:c r="K15" s="50" t="n">
        <x:v>0.95</x:v>
      </x:c>
      <x:c r="L15" s="46" t="inlineStr">
        <x:is>
          <x:t xml:space="preserve">AttackHit</x:t>
        </x:is>
      </x:c>
      <x:c r="M15" s="46" t="inlineStr">
        <x:is>
          <x:t xml:space="preserve">-</x:t>
        </x:is>
      </x:c>
      <x:c r="N15" s="46" t="inlineStr">
        <x:is>
          <x:t xml:space="preserve">발사: Effect_Boss_Megician_Minion_Type1_Attack / 타격: Effect_Boss_Megician_Minion_Type1_Attack_Hit</x:t>
        </x:is>
      </x:c>
      <x:c r="O15" s="47" t="n">
        <x:v>1</x:v>
      </x:c>
      <x:c r="P15" s="46" t="inlineStr">
        <x:is>
          <x:t xml:space="preserve">Rush</x:t>
        </x:is>
      </x:c>
      <x:c r="Q15" s="46" t="inlineStr">
        <x:is>
          <x:t xml:space="preserve">MoveSpeedBoost</x:t>
        </x:is>
      </x:c>
      <x:c r="R15" s="46" t="inlineStr">
        <x:is>
          <x:t xml:space="preserve">일시적으로 이동속도를 높입니다.</x:t>
        </x:is>
      </x:c>
      <x:c r="S15" s="46" t="inlineStr">
        <x:is>
          <x:t xml:space="preserve">이동속도 +50%, 4초</x:t>
        </x:is>
      </x:c>
      <x:c r="T15" s="51" t="n">
        <x:v>0.5</x:v>
      </x:c>
      <x:c r="U15" s="48" t="str">
        <x:f>IF(OR(Q15="DirectDamage",Q15="AreaDamage",Q15="MassStun"),I15*T15,"")</x:f>
      </x:c>
      <x:c r="V15" s="46" t="inlineStr">
        <x:is>
          <x:t xml:space="preserve">자신 / 지속 4초 / 범위 -</x:t>
        </x:is>
      </x:c>
      <x:c r="W15" s="46" t="inlineStr">
        <x:is>
          <x:t xml:space="preserve">마나 100 / CD 9초</x:t>
        </x:is>
      </x:c>
      <x:c r="X15" s="46" t="inlineStr">
        <x:is>
          <x:t xml:space="preserve">SkillHit / 캐스트: Effect_Boss_Megician_Minion_Type1_Skill01 / 히트: Effect_Boss_Megician_Minion_Type1_Skill01 / 범위: Effect_Boss_Megician_Minion_Type1_Skill01_Buff</x:t>
        </x:is>
      </x:c>
    </x:row>
    <x:row r="16" ht="72" customHeight="1">
      <x:c r="A16" s="46" t="inlineStr">
        <x:is>
          <x:t xml:space="preserve">일반</x:t>
        </x:is>
      </x:c>
      <x:c r="B16" s="46" t="inlineStr">
        <x:is>
          <x:t xml:space="preserve">mob_09</x:t>
        </x:is>
      </x:c>
      <x:c r="C16" s="46" t="inlineStr">
        <x:is>
          <x:t xml:space="preserve">Boss_Magician_Minion_Type2</x:t>
        </x:is>
      </x:c>
      <x:c r="D16" s="46" t="inlineStr">
        <x:is>
          <x:t xml:space="preserve">Brute</x:t>
        </x:is>
      </x:c>
      <x:c r="E16" s="47" t="n">
        <x:v>20</x:v>
      </x:c>
      <x:c r="F16" s="46" t="inlineStr">
        <x:is>
          <x:t xml:space="preserve">근거리</x:t>
        </x:is>
      </x:c>
      <x:c r="G16" s="48" t="n">
        <x:v>1.8</x:v>
      </x:c>
      <x:c r="H16" s="48" t="n">
        <x:v>69.59999999999999</x:v>
      </x:c>
      <x:c r="I16" s="48" t="n">
        <x:v>7.872</x:v>
      </x:c>
      <x:c r="J16" s="49" t="n">
        <x:v>0.82</x:v>
      </x:c>
      <x:c r="K16" s="50" t="n">
        <x:v>1.12</x:v>
      </x:c>
      <x:c r="L16" s="46" t="inlineStr">
        <x:is>
          <x:t xml:space="preserve">AttackHit</x:t>
        </x:is>
      </x:c>
      <x:c r="M16" s="46" t="inlineStr">
        <x:is>
          <x:t xml:space="preserve">-</x:t>
        </x:is>
      </x:c>
      <x:c r="N16" s="46" t="inlineStr">
        <x:is>
          <x:t xml:space="preserve">발사: Effect_Boss_Megician_Minion_Type2_Attack / 타격: Effect_Boss_Megician_Minion_Type2_Skill01</x:t>
        </x:is>
      </x:c>
      <x:c r="O16" s="47" t="n">
        <x:v>1</x:v>
      </x:c>
      <x:c r="P16" s="46" t="inlineStr">
        <x:is>
          <x:t xml:space="preserve">Crushing Grip</x:t>
        </x:is>
      </x:c>
      <x:c r="Q16" s="46" t="inlineStr">
        <x:is>
          <x:t xml:space="preserve">Stun</x:t>
        </x:is>
      </x:c>
      <x:c r="R16" s="46" t="inlineStr">
        <x:is>
          <x:t xml:space="preserve">유닛 하나를 짧게 기절시킵니다.</x:t>
        </x:is>
      </x:c>
      <x:c r="S16" s="46" t="inlineStr">
        <x:is>
          <x:t xml:space="preserve">기절 1.15초, 시전 거리 3m</x:t>
        </x:is>
      </x:c>
      <x:c r="T16" s="51" t="n">
        <x:v>0</x:v>
      </x:c>
      <x:c r="U16" s="48" t="str">
        <x:f>IF(OR(Q16="DirectDamage",Q16="AreaDamage",Q16="MassStun"),I16*T16,"")</x:f>
      </x:c>
      <x:c r="V16" s="46" t="inlineStr">
        <x:is>
          <x:t xml:space="preserve">대상 1 / 기절 1.15초 / 시전 3m</x:t>
        </x:is>
      </x:c>
      <x:c r="W16" s="46" t="inlineStr">
        <x:is>
          <x:t xml:space="preserve">마나 100 / CD 9초</x:t>
        </x:is>
      </x:c>
      <x:c r="X16" s="46" t="inlineStr">
        <x:is>
          <x:t xml:space="preserve">SkillHit / 캐스트: Effect_Boss_Megician_Minion_Type2_Skill01 / 히트: Effect_Boss_Megician_Minion_Type2_Skill01 / 범위: Effect_Boss_Megician_Minion_Type2_Skill01_Buff</x:t>
        </x:is>
      </x:c>
    </x:row>
    <x:row r="17" ht="72" customHeight="1">
      <x:c r="A17" s="46" t="inlineStr">
        <x:is>
          <x:t xml:space="preserve">일반</x:t>
        </x:is>
      </x:c>
      <x:c r="B17" s="46" t="inlineStr">
        <x:is>
          <x:t xml:space="preserve">mob_10</x:t>
        </x:is>
      </x:c>
      <x:c r="C17" s="46" t="inlineStr">
        <x:is>
          <x:t xml:space="preserve">Boss_Slime</x:t>
        </x:is>
      </x:c>
      <x:c r="D17" s="46" t="inlineStr">
        <x:is>
          <x:t xml:space="preserve">Grunt</x:t>
        </x:is>
      </x:c>
      <x:c r="E17" s="47" t="n">
        <x:v>30</x:v>
      </x:c>
      <x:c r="F17" s="46" t="inlineStr">
        <x:is>
          <x:t xml:space="preserve">근거리</x:t>
        </x:is>
      </x:c>
      <x:c r="G17" s="48" t="n">
        <x:v>2.2</x:v>
      </x:c>
      <x:c r="H17" s="48" t="n">
        <x:v>52.8</x:v>
      </x:c>
      <x:c r="I17" s="48" t="n">
        <x:v>6.56</x:v>
      </x:c>
      <x:c r="J17" s="49" t="n">
        <x:v>0.82</x:v>
      </x:c>
      <x:c r="K17" s="50" t="n">
        <x:v>1.1</x:v>
      </x:c>
      <x:c r="L17" s="46" t="inlineStr">
        <x:is>
          <x:t xml:space="preserve">AttackHit</x:t>
        </x:is>
      </x:c>
      <x:c r="M17" s="46" t="inlineStr">
        <x:is>
          <x:t xml:space="preserve">-</x:t>
        </x:is>
      </x:c>
      <x:c r="N17" s="46" t="inlineStr">
        <x:is>
          <x:t xml:space="preserve">발사/타격: Effect_Boss_Golem_Minion_Type1_Attack</x:t>
        </x:is>
      </x:c>
      <x:c r="O17" s="47" t="n">
        <x:v>1</x:v>
      </x:c>
      <x:c r="P17" s="46" t="inlineStr">
        <x:is>
          <x:t xml:space="preserve">놀리기</x:t>
        </x:is>
      </x:c>
      <x:c r="Q17" s="46" t="inlineStr">
        <x:is>
          <x:t xml:space="preserve">AttackPowerReduction</x:t>
        </x:is>
      </x:c>
      <x:c r="R17" s="46" t="inlineStr">
        <x:is>
          <x:t xml:space="preserve">가장 가까운 유닛의 공격력을 10% 감소시킵니다. 5초간 지속됩니다.</x:t>
        </x:is>
      </x:c>
      <x:c r="S17" s="46" t="inlineStr">
        <x:is>
          <x:t xml:space="preserve">공격력 -10%, 5초</x:t>
        </x:is>
      </x:c>
      <x:c r="T17" s="51" t="n">
        <x:v>0.1</x:v>
      </x:c>
      <x:c r="U17" s="48" t="str">
        <x:f>IF(OR(Q17="DirectDamage",Q17="AreaDamage",Q17="MassStun"),I17*T17,"")</x:f>
      </x:c>
      <x:c r="V17" s="46" t="inlineStr">
        <x:is>
          <x:t xml:space="preserve">가장 가까운 유닛 / 지속 5초 / 시전 3m</x:t>
        </x:is>
      </x:c>
      <x:c r="W17" s="46" t="inlineStr">
        <x:is>
          <x:t xml:space="preserve">마나 78 / CD 9초</x:t>
        </x:is>
      </x:c>
      <x:c r="X17" s="46" t="inlineStr">
        <x:is>
          <x:t xml:space="preserve">SkillHit / 캐스트: Effect_Boss_Magician_Skill03 / 히트: Effect_Boss_Magician_Skill03_Hit</x:t>
        </x:is>
      </x:c>
    </x:row>
    <x:row r="18" ht="72" customHeight="1">
      <x:c r="A18" s="46" t="inlineStr">
        <x:is>
          <x:t xml:space="preserve">일반</x:t>
        </x:is>
      </x:c>
      <x:c r="B18" s="46" t="inlineStr">
        <x:is>
          <x:t xml:space="preserve">mob_11</x:t>
        </x:is>
      </x:c>
      <x:c r="C18" s="46" t="inlineStr">
        <x:is>
          <x:t xml:space="preserve">Boss_TurtleShell</x:t>
        </x:is>
      </x:c>
      <x:c r="D18" s="46" t="inlineStr">
        <x:is>
          <x:t xml:space="preserve">Brute</x:t>
        </x:is>
      </x:c>
      <x:c r="E18" s="47" t="n">
        <x:v>40</x:v>
      </x:c>
      <x:c r="F18" s="46" t="inlineStr">
        <x:is>
          <x:t xml:space="preserve">근거리</x:t>
        </x:is>
      </x:c>
      <x:c r="G18" s="48" t="n">
        <x:v>2</x:v>
      </x:c>
      <x:c r="H18" s="48" t="n">
        <x:v>78.3</x:v>
      </x:c>
      <x:c r="I18" s="48" t="n">
        <x:v>7.872</x:v>
      </x:c>
      <x:c r="J18" s="49" t="n">
        <x:v>0.82</x:v>
      </x:c>
      <x:c r="K18" s="50" t="n">
        <x:v>0.92</x:v>
      </x:c>
      <x:c r="L18" s="46" t="inlineStr">
        <x:is>
          <x:t xml:space="preserve">AttackHit</x:t>
        </x:is>
      </x:c>
      <x:c r="M18" s="46" t="inlineStr">
        <x:is>
          <x:t xml:space="preserve">-</x:t>
        </x:is>
      </x:c>
      <x:c r="N18" s="46" t="inlineStr">
        <x:is>
          <x:t xml:space="preserve">발사/타격: Effect_Boss_Golem_Minion_Type2_Attack</x:t>
        </x:is>
      </x:c>
      <x:c r="O18" s="47" t="n">
        <x:v>1</x:v>
      </x:c>
      <x:c r="P18" s="46" t="inlineStr">
        <x:is>
          <x:t xml:space="preserve">타운트</x:t>
        </x:is>
      </x:c>
      <x:c r="Q18" s="46" t="inlineStr">
        <x:is>
          <x:t xml:space="preserve">DamageReflect</x:t>
        </x:is>
      </x:c>
      <x:c r="R18" s="46" t="inlineStr">
        <x:is>
          <x:t xml:space="preserve">5초간 받은 피해의 10%를 공격자에게 돌려줍니다.</x:t>
        </x:is>
      </x:c>
      <x:c r="S18" s="46" t="inlineStr">
        <x:is>
          <x:t xml:space="preserve">받은 피해 10% 반사, 5초</x:t>
        </x:is>
      </x:c>
      <x:c r="T18" s="51" t="n">
        <x:v>0.1</x:v>
      </x:c>
      <x:c r="U18" s="48" t="str">
        <x:f>IF(OR(Q18="DirectDamage",Q18="AreaDamage",Q18="MassStun"),I18*T18,"")</x:f>
      </x:c>
      <x:c r="V18" s="46" t="inlineStr">
        <x:is>
          <x:t xml:space="preserve">자신 / 지속 5초 / 적이 근접했을 때만 발동</x:t>
        </x:is>
      </x:c>
      <x:c r="W18" s="46" t="inlineStr">
        <x:is>
          <x:t xml:space="preserve">마나 78 / CD 9초</x:t>
        </x:is>
      </x:c>
      <x:c r="X18" s="46" t="inlineStr">
        <x:is>
          <x:t xml:space="preserve">SkillHit / 캐스트: Effect_Boss_Magician_Skill03 / 히트·범위: Effect_Boss_Golem_Skill02_Shield</x:t>
        </x:is>
      </x:c>
    </x:row>
  </x:sheetData>
  <x:mergeCells>
    <x:mergeCell ref="A2:X2"/>
    <x:mergeCell ref="A1:X1"/>
  </x:mergeCells>
  <x:pageMargins left="0.7" right="0.7" top="0.75" bottom="0.75" header="0.3" footer="0.3"/>
  <x:tableParts count="1">
    <x:tablePart xmlns:r="http://schemas.openxmlformats.org/officeDocument/2006/relationships" r:id="R8669313110fb405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customWidth="1"/>
    <x:col min="2" max="2" width="11" customWidth="1"/>
    <x:col min="3" max="3" width="25" customWidth="1"/>
    <x:col min="4" max="4" width="52" customWidth="1"/>
  </x:cols>
  <x:sheetData>
    <x:row r="1" ht="25" customHeight="1">
      <x:c r="A1" s="56" t="inlineStr">
        <x:is>
          <x:t xml:space="preserve">검증_2026-07-08</x:t>
        </x:is>
      </x:c>
    </x:row>
    <x:row r="2" ht="34" customHeight="1">
      <x:c r="A2" s="53" t="inlineStr">
        <x:is>
          <x:t xml:space="preserve">최신 코드/스모크/플레이테스트 결과를 문서 첫머리에서 바로 확인하기 위한 요약 탭입니다.</x:t>
        </x:is>
      </x:c>
    </x:row>
    <x:row r="4">
      <x:c r="A4" s="57" t="inlineStr">
        <x:is>
          <x:t xml:space="preserve">항목</x:t>
        </x:is>
      </x:c>
      <x:c r="B4" s="57" t="inlineStr">
        <x:is>
          <x:t xml:space="preserve">상태</x:t>
        </x:is>
      </x:c>
      <x:c r="C4" s="57" t="inlineStr">
        <x:is>
          <x:t xml:space="preserve">기준/대상</x:t>
        </x:is>
      </x:c>
      <x:c r="D4" s="57" t="inlineStr">
        <x:is>
          <x:t xml:space="preserve">결과/메모</x:t>
        </x:is>
      </x:c>
    </x:row>
    <x:row r="5">
      <x:c r="A5" s="134" t="inlineStr">
        <x:is>
          <x:t xml:space="preserve">신규 프리팹·애니메이션·VFX 스모크</x:t>
        </x:is>
      </x:c>
      <x:c r="B5" s="134" t="inlineStr">
        <x:is>
          <x:t xml:space="preserve">PASS</x:t>
        </x:is>
      </x:c>
      <x:c r="C5" s="134" t="inlineStr">
        <x:is>
          <x:t xml:space="preserve">hero_55~57</x:t>
        </x:is>
      </x:c>
      <x:c r="D5" s="134" t="inlineStr">
        <x:is>
          <x:t xml:space="preserve">safeArea=True, portrait=True</x:t>
        </x:is>
      </x:c>
    </x:row>
    <x:row r="6">
      <x:c r="A6" s="134" t="inlineStr">
        <x:is>
          <x:t xml:space="preserve">보스/몬스터 애니메이션 이벤트 스모크</x:t>
        </x:is>
      </x:c>
      <x:c r="B6" s="134" t="inlineStr">
        <x:is>
          <x:t xml:space="preserve">PASS</x:t>
        </x:is>
      </x:c>
      <x:c r="C6" s="134" t="inlineStr">
        <x:is>
          <x:t xml:space="preserve">mob_01~mob_09</x:t>
        </x:is>
      </x:c>
      <x:c r="D6" s="134" t="inlineStr">
        <x:is>
          <x:t xml:space="preserve">status=pass, results=0</x:t>
        </x:is>
      </x:c>
    </x:row>
    <x:row r="7">
      <x:c r="A7" s="134" t="inlineStr">
        <x:is>
          <x:t xml:space="preserve">인간 3전략 최신 5판 실측</x:t>
        </x:is>
      </x:c>
      <x:c r="B7" s="134" t="inlineStr">
        <x:is>
          <x:t xml:space="preserve">주의</x:t>
        </x:is>
      </x:c>
      <x:c r="C7" s="134" t="inlineStr">
        <x:is>
          <x:t xml:space="preserve">R10 클리어 목표 65~75%</x:t>
        </x:is>
      </x:c>
      <x:c r="D7" s="134" t="inlineStr">
        <x:is>
          <x:t xml:space="preserve">3/5 = 60.0%; 5판은 60% 또는 80% 단위라 목표 구간을 정확히 찍기 어려움</x:t>
        </x:is>
      </x:c>
    </x:row>
    <x:row r="8">
      <x:c r="A8" s="134" t="inlineStr">
        <x:is>
          <x:t xml:space="preserve">이전 10판 기준</x:t>
        </x:is>
      </x:c>
      <x:c r="B8" s="134" t="inlineStr">
        <x:is>
          <x:t xml:space="preserve">PASS</x:t>
        </x:is>
      </x:c>
      <x:c r="C8" s="134" t="inlineStr">
        <x:is>
          <x:t xml:space="preserve">R10 클리어 목표 65~75%</x:t>
        </x:is>
      </x:c>
      <x:c r="D8" s="134" t="inlineStr">
        <x:is>
          <x:t xml:space="preserve">7/10 = 70.0%</x:t>
        </x:is>
      </x:c>
    </x:row>
    <x:row r="9">
      <x:c r="A9" s="134" t="inlineStr">
        <x:is>
          <x:t xml:space="preserve">밸런스 해석</x:t>
        </x:is>
      </x:c>
      <x:c r="B9" s="134" t="inlineStr">
        <x:is>
          <x:t xml:space="preserve">확인 필요</x:t>
        </x:is>
      </x:c>
      <x:c r="C9" s="134" t="inlineStr">
        <x:is>
          <x:t xml:space="preserve">초반 안정성 vs R10 압박</x:t>
        </x:is>
      </x:c>
      <x:c r="D9" s="134" t="inlineStr">
        <x:is>
          <x:t xml:space="preserve">최신 5판은 R3 생명 0 실패가 2회, R10 도달 3회는 모두 클리어. 다음 조정은 초반 저점 보호와 R10 보스 잔여 HP를 분리해서 봐야 함.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4" customWidth="1"/>
    <x:col min="3" max="3" width="18" customWidth="1"/>
    <x:col min="4" max="4" width="58" customWidth="1"/>
  </x:cols>
  <x:sheetData>
    <x:row r="1" ht="25" customHeight="1">
      <x:c r="A1" s="136" t="inlineStr">
        <x:is>
          <x:t xml:space="preserve">초반튜닝_최신</x:t>
        </x:is>
      </x:c>
    </x:row>
    <x:row r="2" ht="34" customHeight="1">
      <x:c r="A2" s="136" t="inlineStr">
        <x:is>
          <x:t xml:space="preserve">2026-07-17 최신 코드 기준. 시작 3소환 보장, R3+8R 소형 상점 단일화, 초반 보급 중첩 축소, 40배 안전 실측 반영.</x:t>
        </x:is>
      </x:c>
    </x:row>
    <x:row r="3">
      <x:c r="A3" s="136" t="inlineStr">
        <x:is>
          <x:t xml:space="preserve"/>
        </x:is>
      </x:c>
      <x:c r="B3" s="136" t="inlineStr">
        <x:is>
          <x:t xml:space="preserve"/>
        </x:is>
      </x:c>
      <x:c r="C3" s="136" t="inlineStr">
        <x:is>
          <x:t xml:space="preserve"/>
        </x:is>
      </x:c>
      <x:c r="D3" s="136" t="inlineStr">
        <x:is>
          <x:t xml:space="preserve"/>
        </x:is>
      </x:c>
    </x:row>
    <x:row r="4">
      <x:c r="A4" s="83" t="inlineStr">
        <x:is>
          <x:t xml:space="preserve">항목</x:t>
        </x:is>
      </x:c>
      <x:c r="B4" s="83" t="inlineStr">
        <x:is>
          <x:t xml:space="preserve">코드 위치</x:t>
        </x:is>
      </x:c>
      <x:c r="C4" s="83" t="inlineStr">
        <x:is>
          <x:t xml:space="preserve">최신 값</x:t>
        </x:is>
      </x:c>
      <x:c r="D4" s="83" t="inlineStr">
        <x:is>
          <x:t xml:space="preserve">메모</x:t>
        </x:is>
      </x:c>
    </x:row>
    <x:row r="5">
      <x:c r="A5" s="136" t="inlineStr">
        <x:is>
          <x:t xml:space="preserve">시작 골드</x:t>
        </x:is>
      </x:c>
      <x:c r="B5" s="136" t="inlineStr">
        <x:is>
          <x:t xml:space="preserve">DefenseGameController.startGold</x:t>
        </x:is>
      </x:c>
      <x:c r="C5" s="136" t="n">
        <x:v>36</x:v>
      </x:c>
      <x:c r="D5" s="136" t="inlineStr">
        <x:is>
          <x:t xml:space="preserve">3소환 보장: 10+11+12=33, 시작 잔여 3G</x:t>
        </x:is>
      </x:c>
    </x:row>
    <x:row r="6">
      <x:c r="A6" s="136" t="inlineStr">
        <x:is>
          <x:t xml:space="preserve">기본 소환비</x:t>
        </x:is>
      </x:c>
      <x:c r="B6" s="136" t="inlineStr">
        <x:is>
          <x:t xml:space="preserve">summonCost / earlySummonCostIncreasePerSummon</x:t>
        </x:is>
      </x:c>
      <x:c r="C6" s="136" t="inlineStr">
        <x:is>
          <x:t xml:space="preserve">10 / +1</x:t>
        </x:is>
      </x:c>
      <x:c r="D6" s="136" t="inlineStr">
        <x:is>
          <x:t xml:space="preserve">초반 3회 소환 비용 10, 11, 12</x:t>
        </x:is>
      </x:c>
    </x:row>
    <x:row r="7">
      <x:c r="A7" s="136" t="inlineStr">
        <x:is>
          <x:t xml:space="preserve">초반 피티 소환 횟수</x:t>
        </x:is>
      </x:c>
      <x:c r="B7" s="136" t="inlineStr">
        <x:is>
          <x:t xml:space="preserve">earlyPitySummonCount</x:t>
        </x:is>
      </x:c>
      <x:c r="C7" s="136" t="n">
        <x:v>7</x:v>
      </x:c>
      <x:c r="D7" s="136" t="inlineStr">
        <x:is>
          <x:t xml:space="preserve">BadLuckInsurance와 함께 초반 레어+ 보정</x:t>
        </x:is>
      </x:c>
    </x:row>
    <x:row r="8">
      <x:c r="A8" s="136" t="inlineStr">
        <x:is>
          <x:t xml:space="preserve">초반 Epic 보정</x:t>
        </x:is>
      </x:c>
      <x:c r="B8" s="136" t="inlineStr">
        <x:is>
          <x:t xml:space="preserve">earlyPityEpicChance</x:t>
        </x:is>
      </x:c>
      <x:c r="C8" s="136" t="n">
        <x:v>0.02</x:v>
      </x:c>
      <x:c r="D8" s="136" t="inlineStr">
        <x:is>
          <x:t xml:space="preserve">상위등급 과속 방지</x:t>
        </x:is>
      </x:c>
    </x:row>
    <x:row r="9">
      <x:c r="A9" s="136" t="inlineStr">
        <x:is>
          <x:t xml:space="preserve">R3 초반 보급 골드</x:t>
        </x:is>
      </x:c>
      <x:c r="B9" s="136" t="inlineStr">
        <x:is>
          <x:t xml:space="preserve">earlyFallbackGoldReward</x:t>
        </x:is>
      </x:c>
      <x:c r="C9" s="136" t="n">
        <x:v>4</x:v>
      </x:c>
      <x:c r="D9" s="136" t="inlineStr">
        <x:is>
          <x:t xml:space="preserve">빈 슬롯 보급 실패 시 최소 보상. 기존 6G에서 축소</x:t>
        </x:is>
      </x:c>
    </x:row>
    <x:row r="10">
      <x:c r="A10" s="136" t="inlineStr">
        <x:is>
          <x:t xml:space="preserve">R4 보스 대비 보급 골드</x:t>
        </x:is>
      </x:c>
      <x:c r="B10" s="136" t="inlineStr">
        <x:is>
          <x:t xml:space="preserve">earlyBossPrepGoldReward</x:t>
        </x:is>
      </x:c>
      <x:c r="C10" s="136" t="n">
        <x:v>0</x:v>
      </x:c>
      <x:c r="D10" s="136" t="inlineStr">
        <x:is>
          <x:t xml:space="preserve">무조건 R4 보급 제거. 소환·상점 선택의 기회비용 유지</x:t>
        </x:is>
      </x:c>
    </x:row>
    <x:row r="11">
      <x:c r="A11" s="136" t="inlineStr">
        <x:is>
          <x:t xml:space="preserve">소형 전투상점 시작/간격</x:t>
        </x:is>
      </x:c>
      <x:c r="B11" s="136" t="inlineStr">
        <x:is>
          <x:t xml:space="preserve">RunShopSystem.earlyMiniShopRound / miniShopInterval</x:t>
        </x:is>
      </x:c>
      <x:c r="C11" s="136" t="inlineStr">
        <x:is>
          <x:t xml:space="preserve">R3 / 8R</x:t>
        </x:is>
      </x:c>
      <x:c r="D11" s="136" t="inlineStr">
        <x:is>
          <x:t xml:space="preserve">증강체와 과도하게 겹치지 않게 고정 간격</x:t>
        </x:is>
      </x:c>
    </x:row>
    <x:row r="12">
      <x:c r="A12" s="136" t="inlineStr">
        <x:is>
          <x:t xml:space="preserve">소형 전투상점 가격 배율</x:t>
        </x:is>
      </x:c>
      <x:c r="B12" s="136" t="inlineStr">
        <x:is>
          <x:t xml:space="preserve">earlyMiniShopPriceRate</x:t>
        </x:is>
      </x:c>
      <x:c r="C12" s="136" t="n">
        <x:v>0.85</x:v>
      </x:c>
      <x:c r="D12" s="136" t="inlineStr">
        <x:is>
          <x:t xml:space="preserve">전투상점 선택이 공짜 이득이 되지 않도록 85%</x:t>
        </x:is>
      </x:c>
    </x:row>
    <x:row r="13">
      <x:c r="A13" s="136" t="inlineStr">
        <x:is>
          <x:t xml:space="preserve">소형 전투상점 등장률</x:t>
        </x:is>
      </x:c>
      <x:c r="B13" s="136" t="inlineStr">
        <x:is>
          <x:t xml:space="preserve">earlyMiniShopAppearanceChance</x:t>
        </x:is>
      </x:c>
      <x:c r="C13" s="136" t="n">
        <x:v>1</x:v>
      </x:c>
      <x:c r="D13" s="136" t="inlineStr">
        <x:is>
          <x:t xml:space="preserve">스케줄 라운드에서는 확정</x:t>
        </x:is>
      </x:c>
    </x:row>
    <x:row r="14">
      <x:c r="A14" s="136" t="inlineStr">
        <x:is>
          <x:t xml:space="preserve">별도 정규 전투상점</x:t>
        </x:is>
      </x:c>
      <x:c r="B14" s="136" t="inlineStr">
        <x:is>
          <x:t xml:space="preserve">RunShopSystem.enableRegularShop</x:t>
        </x:is>
      </x:c>
      <x:c r="C14" s="136" t="inlineStr">
        <x:is>
          <x:t xml:space="preserve">비활성</x:t>
        </x:is>
      </x:c>
      <x:c r="D14" s="136" t="inlineStr">
        <x:is>
          <x:t xml:space="preserve">R3부터 8라운드마다 열리는 소형 상점과 중복 제거</x:t>
        </x:is>
      </x:c>
    </x:row>
    <x:row r="15">
      <x:c r="A15" s="136" t="inlineStr">
        <x:is>
          <x:t xml:space="preserve">실측 목표 판수</x:t>
        </x:is>
      </x:c>
      <x:c r="B15" s="136" t="inlineStr">
        <x:is>
          <x:t xml:space="preserve">DefenseGameBatchPlaytest.TargetRuns</x:t>
        </x:is>
      </x:c>
      <x:c r="C15" s="136" t="n">
        <x:v>5</x:v>
      </x:c>
      <x:c r="D15" s="136" t="inlineStr">
        <x:is>
          <x:t xml:space="preserve">사용자 요청 기준 5판</x:t>
        </x:is>
      </x:c>
    </x:row>
    <x:row r="16">
      <x:c r="A16" s="136" t="inlineStr">
        <x:is>
          <x:t xml:space="preserve">테스트 배치 속도</x:t>
        </x:is>
      </x:c>
      <x:c r="B16" s="136" t="inlineStr">
        <x:is>
          <x:t xml:space="preserve">DefenseGameBatchPlaytest.BatchTimeScale</x:t>
        </x:is>
      </x:c>
      <x:c r="C16" s="136" t="n">
        <x:v>40</x:v>
      </x:c>
      <x:c r="D16" s="136" t="inlineStr">
        <x:is>
          <x:t xml:space="preserve">fixed 0.025 / maxDelta 0.33 / 고정 시드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3" customWidth="1"/>
    <x:col min="4" max="4" width="12" customWidth="1"/>
    <x:col min="5" max="5" width="10" customWidth="1"/>
    <x:col min="6" max="6" width="10" customWidth="1"/>
    <x:col min="7" max="7" width="14" customWidth="1"/>
    <x:col min="8" max="8" width="14" customWidth="1"/>
    <x:col min="9" max="9" width="10" customWidth="1"/>
    <x:col min="10" max="10" width="16" customWidth="1"/>
    <x:col min="11" max="11" width="12" customWidth="1"/>
    <x:col min="12" max="12" width="16" customWidth="1"/>
    <x:col min="13" max="13" width="10" customWidth="1"/>
    <x:col min="14" max="14" width="10" customWidth="1"/>
    <x:col min="15" max="15" width="16" customWidth="1"/>
    <x:col min="16" max="16" width="16" customWidth="1"/>
    <x:col min="17" max="17" width="10" customWidth="1"/>
    <x:col min="18" max="18" width="10" customWidth="1"/>
    <x:col min="19" max="19" width="16" customWidth="1"/>
    <x:col min="20" max="20" width="10" customWidth="1"/>
    <x:col min="21" max="21" width="48" customWidth="1"/>
  </x:cols>
  <x:sheetData>
    <x:row r="1">
      <x:c r="A1" s="136" t="inlineStr">
        <x:is>
          <x:t xml:space="preserve">인간 3전략 5판 실측 · 2026-07-17</x:t>
        </x:is>
      </x:c>
      <x:c r="S1" s="136" t="inlineStr">
        <x:is>
          <x:t xml:space="preserve"/>
        </x:is>
      </x:c>
      <x:c r="T1" s="136" t="inlineStr">
        <x:is>
          <x:t xml:space="preserve"/>
        </x:is>
      </x:c>
      <x:c r="U1" s="136" t="inlineStr">
        <x:is>
          <x:t xml:space="preserve"/>
        </x:is>
      </x:c>
    </x:row>
    <x:row r="2" ht="42" customHeight="1">
      <x:c r="A2" s="136" t="inlineStr">
        <x:is>
          <x:t xml:space="preserve">40배 안전속도·고정 시드. 동시사망 승리·hero_32 확정·R10 미세 상향·결과 UI 개선 코드 기준. 5판 단위에서 목표 65~75%에 가장 가까운 결과는 80%다.</x:t>
        </x:is>
      </x:c>
      <x:c r="S2" s="136" t="inlineStr">
        <x:is>
          <x:t xml:space="preserve"/>
        </x:is>
      </x:c>
      <x:c r="T2" s="136" t="inlineStr">
        <x:is>
          <x:t xml:space="preserve"/>
        </x:is>
      </x:c>
      <x:c r="U2" s="136" t="inlineStr">
        <x:is>
          <x:t xml:space="preserve"/>
        </x:is>
      </x:c>
    </x:row>
    <x:row r="3">
      <x:c r="A3" s="136" t="inlineStr">
        <x:is>
          <x:t xml:space="preserve"/>
        </x:is>
      </x:c>
      <x:c r="B3" s="136" t="inlineStr">
        <x:is>
          <x:t xml:space="preserve"/>
        </x:is>
      </x:c>
      <x:c r="C3" s="136" t="inlineStr">
        <x:is>
          <x:t xml:space="preserve"/>
        </x:is>
      </x:c>
      <x:c r="D3" s="136" t="inlineStr">
        <x:is>
          <x:t xml:space="preserve"/>
        </x:is>
      </x:c>
      <x:c r="E3" s="136" t="inlineStr">
        <x:is>
          <x:t xml:space="preserve"/>
        </x:is>
      </x:c>
      <x:c r="F3" s="136" t="inlineStr">
        <x:is>
          <x:t xml:space="preserve"/>
        </x:is>
      </x:c>
      <x:c r="G3" s="136" t="inlineStr">
        <x:is>
          <x:t xml:space="preserve"/>
        </x:is>
      </x:c>
      <x:c r="H3" s="136" t="inlineStr">
        <x:is>
          <x:t xml:space="preserve"/>
        </x:is>
      </x:c>
      <x:c r="I3" s="136" t="inlineStr">
        <x:is>
          <x:t xml:space="preserve"/>
        </x:is>
      </x:c>
      <x:c r="J3" s="136" t="inlineStr">
        <x:is>
          <x:t xml:space="preserve"/>
        </x:is>
      </x:c>
      <x:c r="K3" s="136" t="inlineStr">
        <x:is>
          <x:t xml:space="preserve"/>
        </x:is>
      </x:c>
      <x:c r="L3" s="136" t="inlineStr">
        <x:is>
          <x:t xml:space="preserve"/>
        </x:is>
      </x:c>
      <x:c r="M3" s="136" t="inlineStr">
        <x:is>
          <x:t xml:space="preserve"/>
        </x:is>
      </x:c>
      <x:c r="N3" s="136" t="inlineStr">
        <x:is>
          <x:t xml:space="preserve"/>
        </x:is>
      </x:c>
      <x:c r="O3" s="136" t="inlineStr">
        <x:is>
          <x:t xml:space="preserve"/>
        </x:is>
      </x:c>
      <x:c r="P3" s="136" t="inlineStr">
        <x:is>
          <x:t xml:space="preserve"/>
        </x:is>
      </x:c>
      <x:c r="Q3" s="136" t="inlineStr">
        <x:is>
          <x:t xml:space="preserve"/>
        </x:is>
      </x:c>
      <x:c r="R3" s="136" t="inlineStr">
        <x:is>
          <x:t xml:space="preserve"/>
        </x:is>
      </x:c>
      <x:c r="S3" s="136" t="inlineStr">
        <x:is>
          <x:t xml:space="preserve"/>
        </x:is>
      </x:c>
      <x:c r="T3" s="136" t="inlineStr">
        <x:is>
          <x:t xml:space="preserve"/>
        </x:is>
      </x:c>
      <x:c r="U3" s="136" t="inlineStr">
        <x:is>
          <x:t xml:space="preserve"/>
        </x:is>
      </x:c>
    </x:row>
    <x:row r="4">
      <x:c r="A4" s="83" t="inlineStr">
        <x:is>
          <x:t xml:space="preserve">runs</x:t>
        </x:is>
      </x:c>
      <x:c r="B4" s="83" t="inlineStr">
        <x:is>
          <x:t xml:space="preserve">targetRuns</x:t>
        </x:is>
      </x:c>
      <x:c r="C4" s="83" t="inlineStr">
        <x:is>
          <x:t xml:space="preserve">r10Clears</x:t>
        </x:is>
      </x:c>
      <x:c r="D4" s="83" t="inlineStr">
        <x:is>
          <x:t xml:space="preserve">r10SuccessRate</x:t>
        </x:is>
      </x:c>
      <x:c r="E4" s="83" t="inlineStr">
        <x:is>
          <x:t xml:space="preserve">summon-heavy</x:t>
        </x:is>
      </x:c>
      <x:c r="F4" s="83" t="inlineStr">
        <x:is>
          <x:t xml:space="preserve">balanced</x:t>
        </x:is>
      </x:c>
      <x:c r="G4" s="83" t="inlineStr">
        <x:is>
          <x:t xml:space="preserve">shop-save</x:t>
        </x:is>
      </x:c>
      <x:c r="H4" s="83" t="inlineStr">
        <x:is>
          <x:t xml:space="preserve">avgFirstRare+</x:t>
        </x:is>
      </x:c>
      <x:c r="I4" s="83" t="inlineStr">
        <x:is>
          <x:t xml:space="preserve">avgFirstMerge</x:t>
        </x:is>
      </x:c>
      <x:c r="J4" s="83" t="inlineStr">
        <x:is>
          <x:t xml:space="preserve">fateUses</x:t>
        </x:is>
      </x:c>
      <x:c r="K4" s="83" t="inlineStr">
        <x:is>
          <x:t xml:space="preserve">shopPurchases</x:t>
        </x:is>
      </x:c>
      <x:c r="L4" s="83" t="inlineStr">
        <x:is>
          <x:t xml:space="preserve">shopGoldSpent</x:t>
        </x:is>
      </x:c>
      <x:c r="M4" s="83" t="inlineStr">
        <x:is>
          <x:t xml:space="preserve">판정</x:t>
        </x:is>
      </x:c>
      <x:c r="N4" s="83" t="inlineStr">
        <x:is>
          <x:t xml:space="preserve"/>
        </x:is>
      </x:c>
      <x:c r="O4" s="83" t="inlineStr">
        <x:is>
          <x:t xml:space="preserve"/>
        </x:is>
      </x:c>
      <x:c r="P4" s="83" t="inlineStr">
        <x:is>
          <x:t xml:space="preserve"/>
        </x:is>
      </x:c>
      <x:c r="Q4" s="83" t="inlineStr">
        <x:is>
          <x:t xml:space="preserve"/>
        </x:is>
      </x:c>
      <x:c r="R4" s="83" t="inlineStr">
        <x:is>
          <x:t xml:space="preserve"/>
        </x:is>
      </x:c>
      <x:c r="S4" s="83" t="inlineStr">
        <x:is>
          <x:t xml:space="preserve"/>
        </x:is>
      </x:c>
      <x:c r="T4" s="83" t="inlineStr">
        <x:is>
          <x:t xml:space="preserve"/>
        </x:is>
      </x:c>
      <x:c r="U4" s="83" t="inlineStr">
        <x:is>
          <x:t xml:space="preserve"/>
        </x:is>
      </x:c>
    </x:row>
    <x:row r="5" ht="64" customHeight="1">
      <x:c r="A5" s="136" t="n">
        <x:v>5</x:v>
      </x:c>
      <x:c r="B5" s="136" t="n">
        <x:v>5</x:v>
      </x:c>
      <x:c r="C5" s="136" t="n">
        <x:v>4</x:v>
      </x:c>
      <x:c r="D5" s="110" t="n">
        <x:v>0.8</x:v>
      </x:c>
      <x:c r="E5" s="136" t="inlineStr">
        <x:is>
          <x:t xml:space="preserve">2판 / 2승</x:t>
        </x:is>
      </x:c>
      <x:c r="F5" s="136" t="inlineStr">
        <x:is>
          <x:t xml:space="preserve">2판 / 1승</x:t>
        </x:is>
      </x:c>
      <x:c r="G5" s="136" t="inlineStr">
        <x:is>
          <x:t xml:space="preserve">1판 / 1승</x:t>
        </x:is>
      </x:c>
      <x:c r="H5" s="136" t="n">
        <x:v>4.8</x:v>
      </x:c>
      <x:c r="I5" s="136" t="n">
        <x:v>5.6</x:v>
      </x:c>
      <x:c r="J5" s="136" t="n">
        <x:v>5</x:v>
      </x:c>
      <x:c r="K5" s="136" t="n">
        <x:v>3</x:v>
      </x:c>
      <x:c r="L5" s="136" t="n">
        <x:v>66</x:v>
      </x:c>
      <x:c r="M5" s="136" t="inlineStr">
        <x:is>
          <x:t xml:space="preserve">R10 4/5=80%. 성공 4판 중 최저 종료 HP 2, 실패 1판은 보스 HP 0%와 생명력 0이 함께 기록되어 동시사망 승리 규칙의 핵심 회귀 대상.</x:t>
        </x:is>
      </x:c>
      <x:c r="N5" s="136" t="inlineStr">
        <x:is>
          <x:t xml:space="preserve"/>
        </x:is>
      </x:c>
      <x:c r="O5" s="136" t="inlineStr">
        <x:is>
          <x:t xml:space="preserve"/>
        </x:is>
      </x:c>
      <x:c r="P5" s="136" t="inlineStr">
        <x:is>
          <x:t xml:space="preserve"/>
        </x:is>
      </x:c>
      <x:c r="Q5" s="136" t="inlineStr">
        <x:is>
          <x:t xml:space="preserve"/>
        </x:is>
      </x:c>
      <x:c r="R5" s="136" t="inlineStr">
        <x:is>
          <x:t xml:space="preserve"/>
        </x:is>
      </x:c>
      <x:c r="S5" s="136" t="inlineStr">
        <x:is>
          <x:t xml:space="preserve"/>
        </x:is>
      </x:c>
      <x:c r="T5" s="136" t="inlineStr">
        <x:is>
          <x:t xml:space="preserve"/>
        </x:is>
      </x:c>
      <x:c r="U5" s="136" t="inlineStr">
        <x:is>
          <x:t xml:space="preserve"/>
        </x:is>
      </x:c>
    </x:row>
    <x:row r="6">
      <x:c r="A6" s="136" t="inlineStr">
        <x:is>
          <x:t xml:space="preserve"/>
        </x:is>
      </x:c>
      <x:c r="B6" s="136" t="inlineStr">
        <x:is>
          <x:t xml:space="preserve"/>
        </x:is>
      </x:c>
      <x:c r="C6" s="136" t="inlineStr">
        <x:is>
          <x:t xml:space="preserve"/>
        </x:is>
      </x:c>
      <x:c r="D6" s="136" t="inlineStr">
        <x:is>
          <x:t xml:space="preserve"/>
        </x:is>
      </x:c>
      <x:c r="E6" s="136" t="inlineStr">
        <x:is>
          <x:t xml:space="preserve"/>
        </x:is>
      </x:c>
      <x:c r="F6" s="136" t="inlineStr">
        <x:is>
          <x:t xml:space="preserve"/>
        </x:is>
      </x:c>
      <x:c r="G6" s="136" t="inlineStr">
        <x:is>
          <x:t xml:space="preserve"/>
        </x:is>
      </x:c>
      <x:c r="H6" s="136" t="inlineStr">
        <x:is>
          <x:t xml:space="preserve"/>
        </x:is>
      </x:c>
      <x:c r="I6" s="136" t="inlineStr">
        <x:is>
          <x:t xml:space="preserve"/>
        </x:is>
      </x:c>
      <x:c r="J6" s="136" t="inlineStr">
        <x:is>
          <x:t xml:space="preserve"/>
        </x:is>
      </x:c>
      <x:c r="K6" s="136" t="inlineStr">
        <x:is>
          <x:t xml:space="preserve"/>
        </x:is>
      </x:c>
      <x:c r="L6" s="136" t="inlineStr">
        <x:is>
          <x:t xml:space="preserve"/>
        </x:is>
      </x:c>
      <x:c r="M6" s="136" t="inlineStr">
        <x:is>
          <x:t xml:space="preserve"/>
        </x:is>
      </x:c>
      <x:c r="N6" s="136" t="inlineStr">
        <x:is>
          <x:t xml:space="preserve"/>
        </x:is>
      </x:c>
      <x:c r="O6" s="136" t="inlineStr">
        <x:is>
          <x:t xml:space="preserve"/>
        </x:is>
      </x:c>
      <x:c r="P6" s="136" t="inlineStr">
        <x:is>
          <x:t xml:space="preserve"/>
        </x:is>
      </x:c>
      <x:c r="Q6" s="136" t="inlineStr">
        <x:is>
          <x:t xml:space="preserve"/>
        </x:is>
      </x:c>
      <x:c r="R6" s="136" t="inlineStr">
        <x:is>
          <x:t xml:space="preserve"/>
        </x:is>
      </x:c>
      <x:c r="S6" s="136" t="inlineStr">
        <x:is>
          <x:t xml:space="preserve"/>
        </x:is>
      </x:c>
      <x:c r="T6" s="136" t="inlineStr">
        <x:is>
          <x:t xml:space="preserve"/>
        </x:is>
      </x:c>
      <x:c r="U6" s="136" t="inlineStr">
        <x:is>
          <x:t xml:space="preserve"/>
        </x:is>
      </x:c>
    </x:row>
    <x:row r="7">
      <x:c r="A7" s="136" t="inlineStr">
        <x:is>
          <x:t xml:space="preserve"/>
        </x:is>
      </x:c>
      <x:c r="B7" s="136" t="inlineStr">
        <x:is>
          <x:t xml:space="preserve"/>
        </x:is>
      </x:c>
      <x:c r="C7" s="136" t="inlineStr">
        <x:is>
          <x:t xml:space="preserve"/>
        </x:is>
      </x:c>
      <x:c r="D7" s="136" t="inlineStr">
        <x:is>
          <x:t xml:space="preserve"/>
        </x:is>
      </x:c>
      <x:c r="E7" s="136" t="inlineStr">
        <x:is>
          <x:t xml:space="preserve"/>
        </x:is>
      </x:c>
      <x:c r="F7" s="136" t="inlineStr">
        <x:is>
          <x:t xml:space="preserve"/>
        </x:is>
      </x:c>
      <x:c r="G7" s="136" t="inlineStr">
        <x:is>
          <x:t xml:space="preserve"/>
        </x:is>
      </x:c>
      <x:c r="H7" s="136" t="inlineStr">
        <x:is>
          <x:t xml:space="preserve"/>
        </x:is>
      </x:c>
      <x:c r="I7" s="136" t="inlineStr">
        <x:is>
          <x:t xml:space="preserve"/>
        </x:is>
      </x:c>
      <x:c r="J7" s="136" t="inlineStr">
        <x:is>
          <x:t xml:space="preserve"/>
        </x:is>
      </x:c>
      <x:c r="K7" s="136" t="inlineStr">
        <x:is>
          <x:t xml:space="preserve"/>
        </x:is>
      </x:c>
      <x:c r="L7" s="136" t="inlineStr">
        <x:is>
          <x:t xml:space="preserve"/>
        </x:is>
      </x:c>
      <x:c r="M7" s="136" t="inlineStr">
        <x:is>
          <x:t xml:space="preserve"/>
        </x:is>
      </x:c>
      <x:c r="N7" s="136" t="inlineStr">
        <x:is>
          <x:t xml:space="preserve"/>
        </x:is>
      </x:c>
      <x:c r="O7" s="136" t="inlineStr">
        <x:is>
          <x:t xml:space="preserve"/>
        </x:is>
      </x:c>
      <x:c r="P7" s="136" t="inlineStr">
        <x:is>
          <x:t xml:space="preserve"/>
        </x:is>
      </x:c>
      <x:c r="Q7" s="136" t="inlineStr">
        <x:is>
          <x:t xml:space="preserve"/>
        </x:is>
      </x:c>
      <x:c r="R7" s="136" t="inlineStr">
        <x:is>
          <x:t xml:space="preserve"/>
        </x:is>
      </x:c>
      <x:c r="S7" s="136" t="inlineStr">
        <x:is>
          <x:t xml:space="preserve"/>
        </x:is>
      </x:c>
      <x:c r="T7" s="136" t="inlineStr">
        <x:is>
          <x:t xml:space="preserve"/>
        </x:is>
      </x:c>
      <x:c r="U7" s="136" t="inlineStr">
        <x:is>
          <x:t xml:space="preserve"/>
        </x:is>
      </x:c>
    </x:row>
    <x:row r="8">
      <x:c r="A8" s="136" t="inlineStr">
        <x:is>
          <x:t xml:space="preserve">index</x:t>
        </x:is>
      </x:c>
      <x:c r="B8" s="136" t="inlineStr">
        <x:is>
          <x:t xml:space="preserve">strategy</x:t>
        </x:is>
      </x:c>
      <x:c r="C8" s="136" t="inlineStr">
        <x:is>
          <x:t xml:space="preserve">reachedRound</x:t>
        </x:is>
      </x:c>
      <x:c r="D8" s="136" t="inlineStr">
        <x:is>
          <x:t xml:space="preserve">clearedR10</x:t>
        </x:is>
      </x:c>
      <x:c r="E8" s="136" t="inlineStr">
        <x:is>
          <x:t xml:space="preserve">summons</x:t>
        </x:is>
      </x:c>
      <x:c r="F8" s="136" t="inlineStr">
        <x:is>
          <x:t xml:space="preserve">merges</x:t>
        </x:is>
      </x:c>
      <x:c r="G8" s="136" t="inlineStr">
        <x:is>
          <x:t xml:space="preserve">shopPurchases</x:t>
        </x:is>
      </x:c>
      <x:c r="H8" s="136" t="inlineStr">
        <x:is>
          <x:t xml:space="preserve">shopGoldSpent</x:t>
        </x:is>
      </x:c>
      <x:c r="I8" s="136" t="inlineStr">
        <x:is>
          <x:t xml:space="preserve">fateUses</x:t>
        </x:is>
      </x:c>
      <x:c r="J8" s="136" t="inlineStr">
        <x:is>
          <x:t xml:space="preserve">fateCardTitle</x:t>
        </x:is>
      </x:c>
      <x:c r="K8" s="136" t="inlineStr">
        <x:is>
          <x:t xml:space="preserve">fateCardDebt</x:t>
        </x:is>
      </x:c>
      <x:c r="L8" s="136" t="inlineStr">
        <x:is>
          <x:t xml:space="preserve">fateActivationRound</x:t>
        </x:is>
      </x:c>
      <x:c r="M8" s="136" t="inlineStr">
        <x:is>
          <x:t xml:space="preserve">r3ShopSeen</x:t>
        </x:is>
      </x:c>
      <x:c r="N8" s="136" t="inlineStr">
        <x:is>
          <x:t xml:space="preserve">r6ShopSeen</x:t>
        </x:is>
      </x:c>
      <x:c r="O8" s="136" t="inlineStr">
        <x:is>
          <x:t xml:space="preserve">firstRarePlusRound</x:t>
        </x:is>
      </x:c>
      <x:c r="P8" s="136" t="inlineStr">
        <x:is>
          <x:t xml:space="preserve">firstMergeRound</x:t>
        </x:is>
      </x:c>
      <x:c r="Q8" s="136" t="inlineStr">
        <x:is>
          <x:t xml:space="preserve">endGold</x:t>
        </x:is>
      </x:c>
      <x:c r="R8" s="136" t="inlineStr">
        <x:is>
          <x:t xml:space="preserve">endLife</x:t>
        </x:is>
      </x:c>
      <x:c r="S8" s="136" t="inlineStr">
        <x:is>
          <x:t xml:space="preserve">r10BossHPRemain</x:t>
        </x:is>
      </x:c>
      <x:c r="T8" s="136" t="inlineStr">
        <x:is>
          <x:t xml:space="preserve">timeout</x:t>
        </x:is>
      </x:c>
      <x:c r="U8" s="136" t="inlineStr">
        <x:is>
          <x:t xml:space="preserve">notes</x:t>
        </x:is>
      </x:c>
    </x:row>
    <x:row r="9" ht="44" customHeight="1">
      <x:c r="A9" s="136" t="n">
        <x:v>1</x:v>
      </x:c>
      <x:c r="B9" s="136" t="inlineStr">
        <x:is>
          <x:t xml:space="preserve">summon-heavy</x:t>
        </x:is>
      </x:c>
      <x:c r="C9" s="136" t="n">
        <x:v>10</x:v>
      </x:c>
      <x:c r="D9" s="136" t="b">
        <x:v>1</x:v>
      </x:c>
      <x:c r="E9" s="136" t="n">
        <x:v>21</x:v>
      </x:c>
      <x:c r="F9" s="136" t="n">
        <x:v>7</x:v>
      </x:c>
      <x:c r="G9" s="136" t="n">
        <x:v>1</x:v>
      </x:c>
      <x:c r="H9" s="136" t="n">
        <x:v>19</x:v>
      </x:c>
      <x:c r="I9" s="136" t="n">
        <x:v>1</x:v>
      </x:c>
      <x:c r="J9" s="136" t="inlineStr">
        <x:is>
          <x:t xml:space="preserve">피의 계약</x:t>
        </x:is>
      </x:c>
      <x:c r="K9" s="136" t="n">
        <x:v>76</x:v>
      </x:c>
      <x:c r="L9" s="136" t="n">
        <x:v>7</x:v>
      </x:c>
      <x:c r="M9" s="136" t="b">
        <x:v>1</x:v>
      </x:c>
      <x:c r="N9" s="136" t="b">
        <x:v>0</x:v>
      </x:c>
      <x:c r="O9" s="136" t="n">
        <x:v>4</x:v>
      </x:c>
      <x:c r="P9" s="136" t="n">
        <x:v>4</x:v>
      </x:c>
      <x:c r="Q9" s="136" t="n">
        <x:v>125</x:v>
      </x:c>
      <x:c r="R9" s="136" t="n">
        <x:v>8</x:v>
      </x:c>
      <x:c r="S9" s="110" t="n">
        <x:v>0</x:v>
      </x:c>
      <x:c r="T9" s="136" t="b">
        <x:v>0</x:v>
      </x:c>
      <x:c r="U9" s="136" t="inlineStr">
        <x:is>
          <x:t xml:space="preserve">shop_3_SHOP 소형 소환 쿠폰 이번 판 동안 소…_19G;fate_7_피의 계약</x:t>
        </x:is>
      </x:c>
    </x:row>
    <x:row r="10" ht="44" customHeight="1">
      <x:c r="A10" s="136" t="n">
        <x:v>2</x:v>
      </x:c>
      <x:c r="B10" s="136" t="inlineStr">
        <x:is>
          <x:t xml:space="preserve">balanced</x:t>
        </x:is>
      </x:c>
      <x:c r="C10" s="136" t="n">
        <x:v>10</x:v>
      </x:c>
      <x:c r="D10" s="136" t="b">
        <x:v>0</x:v>
      </x:c>
      <x:c r="E10" s="136" t="n">
        <x:v>15</x:v>
      </x:c>
      <x:c r="F10" s="136" t="n">
        <x:v>4</x:v>
      </x:c>
      <x:c r="G10" s="136" t="n">
        <x:v>0</x:v>
      </x:c>
      <x:c r="H10" s="136" t="n">
        <x:v>0</x:v>
      </x:c>
      <x:c r="I10" s="136" t="n">
        <x:v>1</x:v>
      </x:c>
      <x:c r="J10" s="136" t="inlineStr">
        <x:is>
          <x:t xml:space="preserve">왕의 공포</x:t>
        </x:is>
      </x:c>
      <x:c r="K10" s="136" t="n">
        <x:v>86</x:v>
      </x:c>
      <x:c r="L10" s="136" t="n">
        <x:v>6</x:v>
      </x:c>
      <x:c r="M10" s="136" t="b">
        <x:v>1</x:v>
      </x:c>
      <x:c r="N10" s="136" t="b">
        <x:v>0</x:v>
      </x:c>
      <x:c r="O10" s="136" t="n">
        <x:v>7</x:v>
      </x:c>
      <x:c r="P10" s="136" t="n">
        <x:v>7</x:v>
      </x:c>
      <x:c r="Q10" s="136" t="n">
        <x:v>102</x:v>
      </x:c>
      <x:c r="R10" s="136" t="n">
        <x:v>0</x:v>
      </x:c>
      <x:c r="S10" s="110" t="n">
        <x:v>0</x:v>
      </x:c>
      <x:c r="T10" s="136" t="b">
        <x:v>0</x:v>
      </x:c>
      <x:c r="U10" s="136" t="inlineStr">
        <x:is>
          <x:t xml:space="preserve">fate_6_왕의 공포;life_zero_during_round_R10</x:t>
        </x:is>
      </x:c>
    </x:row>
    <x:row r="11" ht="44" customHeight="1">
      <x:c r="A11" s="136" t="n">
        <x:v>3</x:v>
      </x:c>
      <x:c r="B11" s="136" t="inlineStr">
        <x:is>
          <x:t xml:space="preserve">shop-save</x:t>
        </x:is>
      </x:c>
      <x:c r="C11" s="136" t="n">
        <x:v>10</x:v>
      </x:c>
      <x:c r="D11" s="136" t="b">
        <x:v>1</x:v>
      </x:c>
      <x:c r="E11" s="136" t="n">
        <x:v>15</x:v>
      </x:c>
      <x:c r="F11" s="136" t="n">
        <x:v>5</x:v>
      </x:c>
      <x:c r="G11" s="136" t="n">
        <x:v>1</x:v>
      </x:c>
      <x:c r="H11" s="136" t="n">
        <x:v>24</x:v>
      </x:c>
      <x:c r="I11" s="136" t="n">
        <x:v>1</x:v>
      </x:c>
      <x:c r="J11" s="136" t="inlineStr">
        <x:is>
          <x:t xml:space="preserve">왕의 공포</x:t>
        </x:is>
      </x:c>
      <x:c r="K11" s="136" t="n">
        <x:v>86</x:v>
      </x:c>
      <x:c r="L11" s="136" t="n">
        <x:v>6</x:v>
      </x:c>
      <x:c r="M11" s="136" t="b">
        <x:v>1</x:v>
      </x:c>
      <x:c r="N11" s="136" t="b">
        <x:v>0</x:v>
      </x:c>
      <x:c r="O11" s="136" t="n">
        <x:v>7</x:v>
      </x:c>
      <x:c r="P11" s="136" t="n">
        <x:v>7</x:v>
      </x:c>
      <x:c r="Q11" s="136" t="n">
        <x:v>107</x:v>
      </x:c>
      <x:c r="R11" s="136" t="n">
        <x:v>5</x:v>
      </x:c>
      <x:c r="S11" s="110" t="n">
        <x:v>0</x:v>
      </x:c>
      <x:c r="T11" s="136" t="b">
        <x:v>0</x:v>
      </x:c>
      <x:c r="U11" s="136" t="inlineStr">
        <x:is>
          <x:t xml:space="preserve">shop_3_SHOP 소형 현장 의무병 모든 생존 유닛…_24G;fate_6_왕의 공포</x:t>
        </x:is>
      </x:c>
    </x:row>
    <x:row r="12" ht="44" customHeight="1">
      <x:c r="A12" s="136" t="n">
        <x:v>4</x:v>
      </x:c>
      <x:c r="B12" s="136" t="inlineStr">
        <x:is>
          <x:t xml:space="preserve">summon-heavy</x:t>
        </x:is>
      </x:c>
      <x:c r="C12" s="136" t="n">
        <x:v>10</x:v>
      </x:c>
      <x:c r="D12" s="136" t="b">
        <x:v>1</x:v>
      </x:c>
      <x:c r="E12" s="136" t="n">
        <x:v>15</x:v>
      </x:c>
      <x:c r="F12" s="136" t="n">
        <x:v>4</x:v>
      </x:c>
      <x:c r="G12" s="136" t="n">
        <x:v>1</x:v>
      </x:c>
      <x:c r="H12" s="136" t="n">
        <x:v>23</x:v>
      </x:c>
      <x:c r="I12" s="136" t="n">
        <x:v>1</x:v>
      </x:c>
      <x:c r="J12" s="136" t="inlineStr">
        <x:is>
          <x:t xml:space="preserve">응급 방벽</x:t>
        </x:is>
      </x:c>
      <x:c r="K12" s="136" t="n">
        <x:v>62</x:v>
      </x:c>
      <x:c r="L12" s="136" t="n">
        <x:v>7</x:v>
      </x:c>
      <x:c r="M12" s="136" t="b">
        <x:v>1</x:v>
      </x:c>
      <x:c r="N12" s="136" t="b">
        <x:v>0</x:v>
      </x:c>
      <x:c r="O12" s="136" t="n">
        <x:v>3</x:v>
      </x:c>
      <x:c r="P12" s="136" t="n">
        <x:v>5</x:v>
      </x:c>
      <x:c r="Q12" s="136" t="n">
        <x:v>91</x:v>
      </x:c>
      <x:c r="R12" s="136" t="n">
        <x:v>10</x:v>
      </x:c>
      <x:c r="S12" s="110" t="n">
        <x:v>0</x:v>
      </x:c>
      <x:c r="T12" s="136" t="b">
        <x:v>0</x:v>
      </x:c>
      <x:c r="U12" s="136" t="inlineStr">
        <x:is>
          <x:t xml:space="preserve">shop_3_SHOP 소형 소환 쿠폰 이번 판 동안 소…_23G;fate_7_응급 방벽</x:t>
        </x:is>
      </x:c>
    </x:row>
    <x:row r="13" ht="44" customHeight="1">
      <x:c r="A13" s="136" t="n">
        <x:v>5</x:v>
      </x:c>
      <x:c r="B13" s="136" t="inlineStr">
        <x:is>
          <x:t xml:space="preserve">balanced</x:t>
        </x:is>
      </x:c>
      <x:c r="C13" s="136" t="n">
        <x:v>10</x:v>
      </x:c>
      <x:c r="D13" s="136" t="b">
        <x:v>1</x:v>
      </x:c>
      <x:c r="E13" s="136" t="n">
        <x:v>17</x:v>
      </x:c>
      <x:c r="F13" s="136" t="n">
        <x:v>5</x:v>
      </x:c>
      <x:c r="G13" s="136" t="n">
        <x:v>0</x:v>
      </x:c>
      <x:c r="H13" s="136" t="n">
        <x:v>0</x:v>
      </x:c>
      <x:c r="I13" s="136" t="n">
        <x:v>1</x:v>
      </x:c>
      <x:c r="J13" s="136" t="inlineStr">
        <x:is>
          <x:t xml:space="preserve">등급 조작</x:t>
        </x:is>
      </x:c>
      <x:c r="K13" s="136" t="n">
        <x:v>68</x:v>
      </x:c>
      <x:c r="L13" s="136" t="n">
        <x:v>6</x:v>
      </x:c>
      <x:c r="M13" s="136" t="b">
        <x:v>1</x:v>
      </x:c>
      <x:c r="N13" s="136" t="b">
        <x:v>0</x:v>
      </x:c>
      <x:c r="O13" s="136" t="n">
        <x:v>3</x:v>
      </x:c>
      <x:c r="P13" s="136" t="n">
        <x:v>5</x:v>
      </x:c>
      <x:c r="Q13" s="136" t="n">
        <x:v>70</x:v>
      </x:c>
      <x:c r="R13" s="136" t="n">
        <x:v>2</x:v>
      </x:c>
      <x:c r="S13" s="110" t="n">
        <x:v>0</x:v>
      </x:c>
      <x:c r="T13" s="136" t="b">
        <x:v>0</x:v>
      </x:c>
      <x:c r="U13" s="136" t="inlineStr">
        <x:is>
          <x:t xml:space="preserve">fate_6_등급 조작</x:t>
        </x:is>
      </x:c>
    </x:row>
  </x:sheetData>
  <x:mergeCells>
    <x:mergeCell ref="A2:R2"/>
    <x:mergeCell ref="A1:R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</x:cols>
  <x:sheetData>
    <x:row r="1" ht="25" customHeight="1">
      <x:c r="A1" s="63" t="inlineStr">
        <x:is>
          <x:t xml:space="preserve">소환확률_R1-50</x:t>
        </x:is>
      </x:c>
    </x:row>
    <x:row r="2" ht="34" customHeight="1">
      <x:c r="A2" s="53" t="inlineStr">
        <x:is>
          <x:t xml:space="preserve">직접 소환 등급 확률을 R1~50까지 촘촘하게 적용한 최신 코드값입니다. 마지막 R49~50+는 코드상 49라운드 이후 동일 적용입니다.</x:t>
        </x:is>
      </x:c>
    </x:row>
    <x:row r="4">
      <x:c r="A4" s="57" t="inlineStr">
        <x:is>
          <x:t xml:space="preserve">라운드 구간</x:t>
        </x:is>
      </x:c>
      <x:c r="B4" s="57" t="inlineStr">
        <x:is>
          <x:t xml:space="preserve">시작R</x:t>
        </x:is>
      </x:c>
      <x:c r="C4" s="57" t="inlineStr">
        <x:is>
          <x:t xml:space="preserve">끝R</x:t>
        </x:is>
      </x:c>
      <x:c r="D4" s="57" t="inlineStr">
        <x:is>
          <x:t xml:space="preserve">일반</x:t>
        </x:is>
      </x:c>
      <x:c r="E4" s="57" t="inlineStr">
        <x:is>
          <x:t xml:space="preserve">레어</x:t>
        </x:is>
      </x:c>
      <x:c r="F4" s="57" t="inlineStr">
        <x:is>
          <x:t xml:space="preserve">에픽</x:t>
        </x:is>
      </x:c>
      <x:c r="G4" s="57" t="inlineStr">
        <x:is>
          <x:t xml:space="preserve">전설</x:t>
        </x:is>
      </x:c>
      <x:c r="H4" s="57" t="inlineStr">
        <x:is>
          <x:t xml:space="preserve">신화</x:t>
        </x:is>
      </x:c>
      <x:c r="I4" s="57" t="inlineStr">
        <x:is>
          <x:t xml:space="preserve">합계</x:t>
        </x:is>
      </x:c>
    </x:row>
    <x:row r="5">
      <x:c r="A5" s="134" t="inlineStr">
        <x:is>
          <x:t xml:space="preserve">R1~2</x:t>
        </x:is>
      </x:c>
      <x:c r="B5" s="134" t="n">
        <x:v>1</x:v>
      </x:c>
      <x:c r="C5" s="134" t="n">
        <x:v>2</x:v>
      </x:c>
      <x:c r="D5" s="60" t="n">
        <x:v>0.89</x:v>
      </x:c>
      <x:c r="E5" s="60" t="n">
        <x:v>0.1</x:v>
      </x:c>
      <x:c r="F5" s="60" t="n">
        <x:v>0.01</x:v>
      </x:c>
      <x:c r="G5" s="60" t="n">
        <x:v>0</x:v>
      </x:c>
      <x:c r="H5" s="60" t="n">
        <x:v>0</x:v>
      </x:c>
      <x:c r="I5" s="60" t="n">
        <x:v>1</x:v>
      </x:c>
    </x:row>
    <x:row r="6">
      <x:c r="A6" s="134" t="inlineStr">
        <x:is>
          <x:t xml:space="preserve">R3~4</x:t>
        </x:is>
      </x:c>
      <x:c r="B6" s="134" t="n">
        <x:v>3</x:v>
      </x:c>
      <x:c r="C6" s="134" t="n">
        <x:v>4</x:v>
      </x:c>
      <x:c r="D6" s="60" t="n">
        <x:v>0.86</x:v>
      </x:c>
      <x:c r="E6" s="60" t="n">
        <x:v>0.125</x:v>
      </x:c>
      <x:c r="F6" s="60" t="n">
        <x:v>0.015</x:v>
      </x:c>
      <x:c r="G6" s="60" t="n">
        <x:v>0</x:v>
      </x:c>
      <x:c r="H6" s="60" t="n">
        <x:v>0</x:v>
      </x:c>
      <x:c r="I6" s="60" t="n">
        <x:v>1</x:v>
      </x:c>
    </x:row>
    <x:row r="7">
      <x:c r="A7" s="134" t="inlineStr">
        <x:is>
          <x:t xml:space="preserve">R5~6</x:t>
        </x:is>
      </x:c>
      <x:c r="B7" s="134" t="n">
        <x:v>5</x:v>
      </x:c>
      <x:c r="C7" s="134" t="n">
        <x:v>6</x:v>
      </x:c>
      <x:c r="D7" s="60" t="n">
        <x:v>0.82</x:v>
      </x:c>
      <x:c r="E7" s="60" t="n">
        <x:v>0.15</x:v>
      </x:c>
      <x:c r="F7" s="60" t="n">
        <x:v>0.03</x:v>
      </x:c>
      <x:c r="G7" s="60" t="n">
        <x:v>0</x:v>
      </x:c>
      <x:c r="H7" s="60" t="n">
        <x:v>0</x:v>
      </x:c>
      <x:c r="I7" s="60" t="n">
        <x:v>1</x:v>
      </x:c>
    </x:row>
    <x:row r="8">
      <x:c r="A8" s="134" t="inlineStr">
        <x:is>
          <x:t xml:space="preserve">R7~8</x:t>
        </x:is>
      </x:c>
      <x:c r="B8" s="134" t="n">
        <x:v>7</x:v>
      </x:c>
      <x:c r="C8" s="134" t="n">
        <x:v>8</x:v>
      </x:c>
      <x:c r="D8" s="60" t="n">
        <x:v>0.78</x:v>
      </x:c>
      <x:c r="E8" s="60" t="n">
        <x:v>0.17</x:v>
      </x:c>
      <x:c r="F8" s="60" t="n">
        <x:v>0.045</x:v>
      </x:c>
      <x:c r="G8" s="60" t="n">
        <x:v>0.005</x:v>
      </x:c>
      <x:c r="H8" s="60" t="n">
        <x:v>0</x:v>
      </x:c>
      <x:c r="I8" s="60" t="n">
        <x:v>1</x:v>
      </x:c>
    </x:row>
    <x:row r="9">
      <x:c r="A9" s="134" t="inlineStr">
        <x:is>
          <x:t xml:space="preserve">R9~10</x:t>
        </x:is>
      </x:c>
      <x:c r="B9" s="134" t="n">
        <x:v>9</x:v>
      </x:c>
      <x:c r="C9" s="134" t="n">
        <x:v>10</x:v>
      </x:c>
      <x:c r="D9" s="60" t="n">
        <x:v>0.74</x:v>
      </x:c>
      <x:c r="E9" s="60" t="n">
        <x:v>0.19</x:v>
      </x:c>
      <x:c r="F9" s="60" t="n">
        <x:v>0.06</x:v>
      </x:c>
      <x:c r="G9" s="60" t="n">
        <x:v>0.01</x:v>
      </x:c>
      <x:c r="H9" s="60" t="n">
        <x:v>0</x:v>
      </x:c>
      <x:c r="I9" s="60" t="n">
        <x:v>1</x:v>
      </x:c>
    </x:row>
    <x:row r="10">
      <x:c r="A10" s="134" t="inlineStr">
        <x:is>
          <x:t xml:space="preserve">R11~12</x:t>
        </x:is>
      </x:c>
      <x:c r="B10" s="134" t="n">
        <x:v>11</x:v>
      </x:c>
      <x:c r="C10" s="134" t="n">
        <x:v>12</x:v>
      </x:c>
      <x:c r="D10" s="60" t="n">
        <x:v>0.7</x:v>
      </x:c>
      <x:c r="E10" s="60" t="n">
        <x:v>0.21</x:v>
      </x:c>
      <x:c r="F10" s="60" t="n">
        <x:v>0.075</x:v>
      </x:c>
      <x:c r="G10" s="60" t="n">
        <x:v>0.015</x:v>
      </x:c>
      <x:c r="H10" s="60" t="n">
        <x:v>0</x:v>
      </x:c>
      <x:c r="I10" s="60" t="n">
        <x:v>1</x:v>
      </x:c>
    </x:row>
    <x:row r="11">
      <x:c r="A11" s="134" t="inlineStr">
        <x:is>
          <x:t xml:space="preserve">R13~15</x:t>
        </x:is>
      </x:c>
      <x:c r="B11" s="134" t="n">
        <x:v>13</x:v>
      </x:c>
      <x:c r="C11" s="134" t="n">
        <x:v>15</x:v>
      </x:c>
      <x:c r="D11" s="60" t="n">
        <x:v>0.66</x:v>
      </x:c>
      <x:c r="E11" s="60" t="n">
        <x:v>0.23</x:v>
      </x:c>
      <x:c r="F11" s="60" t="n">
        <x:v>0.08500000000000001</x:v>
      </x:c>
      <x:c r="G11" s="60" t="n">
        <x:v>0.025</x:v>
      </x:c>
      <x:c r="H11" s="60" t="n">
        <x:v>0</x:v>
      </x:c>
      <x:c r="I11" s="60" t="n">
        <x:v>1</x:v>
      </x:c>
    </x:row>
    <x:row r="12">
      <x:c r="A12" s="134" t="inlineStr">
        <x:is>
          <x:t xml:space="preserve">R16~18</x:t>
        </x:is>
      </x:c>
      <x:c r="B12" s="134" t="n">
        <x:v>16</x:v>
      </x:c>
      <x:c r="C12" s="134" t="n">
        <x:v>18</x:v>
      </x:c>
      <x:c r="D12" s="60" t="n">
        <x:v>0.62</x:v>
      </x:c>
      <x:c r="E12" s="60" t="n">
        <x:v>0.25</x:v>
      </x:c>
      <x:c r="F12" s="60" t="n">
        <x:v>0.1</x:v>
      </x:c>
      <x:c r="G12" s="60" t="n">
        <x:v>0.03</x:v>
      </x:c>
      <x:c r="H12" s="60" t="n">
        <x:v>0</x:v>
      </x:c>
      <x:c r="I12" s="60" t="n">
        <x:v>1</x:v>
      </x:c>
    </x:row>
    <x:row r="13">
      <x:c r="A13" s="134" t="inlineStr">
        <x:is>
          <x:t xml:space="preserve">R19~21</x:t>
        </x:is>
      </x:c>
      <x:c r="B13" s="134" t="n">
        <x:v>19</x:v>
      </x:c>
      <x:c r="C13" s="134" t="n">
        <x:v>21</x:v>
      </x:c>
      <x:c r="D13" s="60" t="n">
        <x:v>0.59</x:v>
      </x:c>
      <x:c r="E13" s="60" t="n">
        <x:v>0.26</x:v>
      </x:c>
      <x:c r="F13" s="60" t="n">
        <x:v>0.11</x:v>
      </x:c>
      <x:c r="G13" s="60" t="n">
        <x:v>0.038</x:v>
      </x:c>
      <x:c r="H13" s="60" t="n">
        <x:v>0.002</x:v>
      </x:c>
      <x:c r="I13" s="60" t="n">
        <x:v>1</x:v>
      </x:c>
    </x:row>
    <x:row r="14">
      <x:c r="A14" s="134" t="inlineStr">
        <x:is>
          <x:t xml:space="preserve">R22~24</x:t>
        </x:is>
      </x:c>
      <x:c r="B14" s="134" t="n">
        <x:v>22</x:v>
      </x:c>
      <x:c r="C14" s="134" t="n">
        <x:v>24</x:v>
      </x:c>
      <x:c r="D14" s="60" t="n">
        <x:v>0.5600000000000001</x:v>
      </x:c>
      <x:c r="E14" s="60" t="n">
        <x:v>0.27</x:v>
      </x:c>
      <x:c r="F14" s="60" t="n">
        <x:v>0.12</x:v>
      </x:c>
      <x:c r="G14" s="60" t="n">
        <x:v>0.045</x:v>
      </x:c>
      <x:c r="H14" s="60" t="n">
        <x:v>0.005</x:v>
      </x:c>
      <x:c r="I14" s="60" t="n">
        <x:v>1</x:v>
      </x:c>
    </x:row>
    <x:row r="15">
      <x:c r="A15" s="134" t="inlineStr">
        <x:is>
          <x:t xml:space="preserve">R25~27</x:t>
        </x:is>
      </x:c>
      <x:c r="B15" s="134" t="n">
        <x:v>25</x:v>
      </x:c>
      <x:c r="C15" s="134" t="n">
        <x:v>27</x:v>
      </x:c>
      <x:c r="D15" s="60" t="n">
        <x:v>0.53</x:v>
      </x:c>
      <x:c r="E15" s="60" t="n">
        <x:v>0.28</x:v>
      </x:c>
      <x:c r="F15" s="60" t="n">
        <x:v>0.13</x:v>
      </x:c>
      <x:c r="G15" s="60" t="n">
        <x:v>0.05</x:v>
      </x:c>
      <x:c r="H15" s="60" t="n">
        <x:v>0.01</x:v>
      </x:c>
      <x:c r="I15" s="60" t="n">
        <x:v>1</x:v>
      </x:c>
    </x:row>
    <x:row r="16">
      <x:c r="A16" s="134" t="inlineStr">
        <x:is>
          <x:t xml:space="preserve">R28~30</x:t>
        </x:is>
      </x:c>
      <x:c r="B16" s="134" t="n">
        <x:v>28</x:v>
      </x:c>
      <x:c r="C16" s="134" t="n">
        <x:v>30</x:v>
      </x:c>
      <x:c r="D16" s="60" t="n">
        <x:v>0.51</x:v>
      </x:c>
      <x:c r="E16" s="60" t="n">
        <x:v>0.29</x:v>
      </x:c>
      <x:c r="F16" s="60" t="n">
        <x:v>0.135</x:v>
      </x:c>
      <x:c r="G16" s="60" t="n">
        <x:v>0.053</x:v>
      </x:c>
      <x:c r="H16" s="60" t="n">
        <x:v>0.012</x:v>
      </x:c>
      <x:c r="I16" s="60" t="n">
        <x:v>1</x:v>
      </x:c>
    </x:row>
    <x:row r="17">
      <x:c r="A17" s="134" t="inlineStr">
        <x:is>
          <x:t xml:space="preserve">R31~33</x:t>
        </x:is>
      </x:c>
      <x:c r="B17" s="134" t="n">
        <x:v>31</x:v>
      </x:c>
      <x:c r="C17" s="134" t="n">
        <x:v>33</x:v>
      </x:c>
      <x:c r="D17" s="60" t="n">
        <x:v>0.49</x:v>
      </x:c>
      <x:c r="E17" s="60" t="n">
        <x:v>0.3</x:v>
      </x:c>
      <x:c r="F17" s="60" t="n">
        <x:v>0.14</x:v>
      </x:c>
      <x:c r="G17" s="60" t="n">
        <x:v>0.055</x:v>
      </x:c>
      <x:c r="H17" s="60" t="n">
        <x:v>0.015</x:v>
      </x:c>
      <x:c r="I17" s="60" t="n">
        <x:v>1</x:v>
      </x:c>
    </x:row>
    <x:row r="18">
      <x:c r="A18" s="134" t="inlineStr">
        <x:is>
          <x:t xml:space="preserve">R34~36</x:t>
        </x:is>
      </x:c>
      <x:c r="B18" s="134" t="n">
        <x:v>34</x:v>
      </x:c>
      <x:c r="C18" s="134" t="n">
        <x:v>36</x:v>
      </x:c>
      <x:c r="D18" s="60" t="n">
        <x:v>0.47</x:v>
      </x:c>
      <x:c r="E18" s="60" t="n">
        <x:v>0.31</x:v>
      </x:c>
      <x:c r="F18" s="60" t="n">
        <x:v>0.145</x:v>
      </x:c>
      <x:c r="G18" s="60" t="n">
        <x:v>0.057</x:v>
      </x:c>
      <x:c r="H18" s="60" t="n">
        <x:v>0.018</x:v>
      </x:c>
      <x:c r="I18" s="60" t="n">
        <x:v>1</x:v>
      </x:c>
    </x:row>
    <x:row r="19">
      <x:c r="A19" s="134" t="inlineStr">
        <x:is>
          <x:t xml:space="preserve">R37~39</x:t>
        </x:is>
      </x:c>
      <x:c r="B19" s="134" t="n">
        <x:v>37</x:v>
      </x:c>
      <x:c r="C19" s="134" t="n">
        <x:v>39</x:v>
      </x:c>
      <x:c r="D19" s="60" t="n">
        <x:v>0.45</x:v>
      </x:c>
      <x:c r="E19" s="60" t="n">
        <x:v>0.32</x:v>
      </x:c>
      <x:c r="F19" s="60" t="n">
        <x:v>0.15</x:v>
      </x:c>
      <x:c r="G19" s="60" t="n">
        <x:v>0.06</x:v>
      </x:c>
      <x:c r="H19" s="60" t="n">
        <x:v>0.02</x:v>
      </x:c>
      <x:c r="I19" s="60" t="n">
        <x:v>1</x:v>
      </x:c>
    </x:row>
    <x:row r="20">
      <x:c r="A20" s="134" t="inlineStr">
        <x:is>
          <x:t xml:space="preserve">R40~42</x:t>
        </x:is>
      </x:c>
      <x:c r="B20" s="134" t="n">
        <x:v>40</x:v>
      </x:c>
      <x:c r="C20" s="134" t="n">
        <x:v>42</x:v>
      </x:c>
      <x:c r="D20" s="60" t="n">
        <x:v>0.43</x:v>
      </x:c>
      <x:c r="E20" s="60" t="n">
        <x:v>0.33</x:v>
      </x:c>
      <x:c r="F20" s="60" t="n">
        <x:v>0.155</x:v>
      </x:c>
      <x:c r="G20" s="60" t="n">
        <x:v>0.062</x:v>
      </x:c>
      <x:c r="H20" s="60" t="n">
        <x:v>0.023</x:v>
      </x:c>
      <x:c r="I20" s="60" t="n">
        <x:v>1</x:v>
      </x:c>
    </x:row>
    <x:row r="21">
      <x:c r="A21" s="134" t="inlineStr">
        <x:is>
          <x:t xml:space="preserve">R43~45</x:t>
        </x:is>
      </x:c>
      <x:c r="B21" s="134" t="n">
        <x:v>43</x:v>
      </x:c>
      <x:c r="C21" s="134" t="n">
        <x:v>45</x:v>
      </x:c>
      <x:c r="D21" s="60" t="n">
        <x:v>0.41</x:v>
      </x:c>
      <x:c r="E21" s="60" t="n">
        <x:v>0.34</x:v>
      </x:c>
      <x:c r="F21" s="60" t="n">
        <x:v>0.16</x:v>
      </x:c>
      <x:c r="G21" s="60" t="n">
        <x:v>0.065</x:v>
      </x:c>
      <x:c r="H21" s="60" t="n">
        <x:v>0.025</x:v>
      </x:c>
      <x:c r="I21" s="60" t="n">
        <x:v>1</x:v>
      </x:c>
    </x:row>
    <x:row r="22">
      <x:c r="A22" s="134" t="inlineStr">
        <x:is>
          <x:t xml:space="preserve">R46~48</x:t>
        </x:is>
      </x:c>
      <x:c r="B22" s="134" t="n">
        <x:v>46</x:v>
      </x:c>
      <x:c r="C22" s="134" t="n">
        <x:v>48</x:v>
      </x:c>
      <x:c r="D22" s="60" t="n">
        <x:v>0.39</x:v>
      </x:c>
      <x:c r="E22" s="60" t="n">
        <x:v>0.35</x:v>
      </x:c>
      <x:c r="F22" s="60" t="n">
        <x:v>0.165</x:v>
      </x:c>
      <x:c r="G22" s="60" t="n">
        <x:v>0.068</x:v>
      </x:c>
      <x:c r="H22" s="60" t="n">
        <x:v>0.027</x:v>
      </x:c>
      <x:c r="I22" s="60" t="n">
        <x:v>1</x:v>
      </x:c>
    </x:row>
    <x:row r="23">
      <x:c r="A23" s="134" t="inlineStr">
        <x:is>
          <x:t xml:space="preserve">R49~50+</x:t>
        </x:is>
      </x:c>
      <x:c r="B23" s="134" t="n">
        <x:v>49</x:v>
      </x:c>
      <x:c r="C23" s="134" t="inlineStr">
        <x:is>
          <x:t xml:space="preserve">50+</x:t>
        </x:is>
      </x:c>
      <x:c r="D23" s="60" t="n">
        <x:v>0.37</x:v>
      </x:c>
      <x:c r="E23" s="60" t="n">
        <x:v>0.36</x:v>
      </x:c>
      <x:c r="F23" s="60" t="n">
        <x:v>0.17</x:v>
      </x:c>
      <x:c r="G23" s="60" t="n">
        <x:v>0.07000000000000001</x:v>
      </x:c>
      <x:c r="H23" s="60" t="n">
        <x:v>0.03</x:v>
      </x:c>
      <x:c r="I23" s="60" t="n">
        <x:v>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7" customWidth="1"/>
    <x:col min="3" max="3" width="10" customWidth="1"/>
    <x:col min="4" max="4" width="10" customWidth="1"/>
    <x:col min="5" max="5" width="16" customWidth="1"/>
    <x:col min="6" max="6" width="52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2" customWidth="1"/>
    <x:col min="18" max="18" width="15" customWidth="1"/>
    <x:col min="19" max="19" width="52" customWidth="1"/>
    <x:col min="20" max="20" width="52" customWidth="1"/>
  </x:cols>
  <x:sheetData>
    <x:row r="1" ht="25" customHeight="1">
      <x:c r="A1" s="64" t="inlineStr">
        <x:is>
          <x:t xml:space="preserve">신규초월_55-57</x:t>
        </x:is>
      </x:c>
    </x:row>
    <x:row r="2" ht="34" customHeight="1">
      <x:c r="A2" s="53" t="inlineStr">
        <x:is>
          <x:t xml:space="preserve">hero_55~57은 신화가 아니라 초월 등급입니다. 스탯·스킬·레시피·전용 증강을 한 탭에서 이어서 확인할 수 있게 정리했습니다.</x:t>
        </x:is>
      </x:c>
    </x:row>
    <x:row r="4">
      <x:c r="A4" s="54" t="inlineStr">
        <x:is>
          <x:t xml:space="preserve">Hero ID</x:t>
        </x:is>
      </x:c>
      <x:c r="B4" s="54" t="inlineStr">
        <x:is>
          <x:t xml:space="preserve">이름</x:t>
        </x:is>
      </x:c>
      <x:c r="C4" s="54" t="inlineStr">
        <x:is>
          <x:t xml:space="preserve">등급</x:t>
        </x:is>
      </x:c>
      <x:c r="D4" s="54" t="inlineStr">
        <x:is>
          <x:t xml:space="preserve">역할</x:t>
        </x:is>
      </x:c>
      <x:c r="E4" s="54" t="inlineStr">
        <x:is>
          <x:t xml:space="preserve">컨셉</x:t>
        </x:is>
      </x:c>
      <x:c r="F4" s="54" t="inlineStr">
        <x:is>
          <x:t xml:space="preserve">공격 타입</x:t>
        </x:is>
      </x:c>
      <x:c r="G4" s="54" t="inlineStr">
        <x:is>
          <x:t xml:space="preserve">사거리</x:t>
        </x:is>
      </x:c>
      <x:c r="H4" s="54" t="inlineStr">
        <x:is>
          <x:t xml:space="preserve">HP</x:t>
        </x:is>
      </x:c>
      <x:c r="I4" s="54" t="inlineStr">
        <x:is>
          <x:t xml:space="preserve">ATK</x:t>
        </x:is>
      </x:c>
      <x:c r="J4" s="54" t="inlineStr">
        <x:is>
          <x:t xml:space="preserve">치확</x:t>
        </x:is>
      </x:c>
      <x:c r="K4" s="54" t="inlineStr">
        <x:is>
          <x:t xml:space="preserve">치피</x:t>
        </x:is>
      </x:c>
      <x:c r="L4" s="54" t="inlineStr">
        <x:is>
          <x:t xml:space="preserve">공속</x:t>
        </x:is>
      </x:c>
      <x:c r="M4" s="54" t="inlineStr">
        <x:is>
          <x:t xml:space="preserve">마나</x:t>
        </x:is>
      </x:c>
      <x:c r="N4" s="54" t="inlineStr">
        <x:is>
          <x:t xml:space="preserve">마나/초</x:t>
        </x:is>
      </x:c>
      <x:c r="O4" s="54" t="inlineStr">
        <x:is>
          <x:t xml:space="preserve">피격마나</x:t>
        </x:is>
      </x:c>
      <x:c r="P4" s="54" t="inlineStr">
        <x:is>
          <x:t xml:space="preserve">공격마나</x:t>
        </x:is>
      </x:c>
      <x:c r="Q4" s="54" t="inlineStr">
        <x:is>
          <x:t xml:space="preserve">투사체속도</x:t>
        </x:is>
      </x:c>
      <x:c r="R4" s="54" t="inlineStr">
        <x:is>
          <x:t xml:space="preserve">스킬명</x:t>
        </x:is>
      </x:c>
      <x:c r="S4" s="54" t="inlineStr">
        <x:is>
          <x:t xml:space="preserve">스킬 효과</x:t>
        </x:is>
      </x:c>
      <x:c r="T4" s="54" t="inlineStr">
        <x:is>
          <x:t xml:space="preserve">운용 메모</x:t>
        </x:is>
      </x:c>
    </x:row>
    <x:row r="5">
      <x:c r="A5" s="134" t="inlineStr">
        <x:is>
          <x:t xml:space="preserve">hero_55</x:t>
        </x:is>
      </x:c>
      <x:c r="B5" s="134" t="inlineStr">
        <x:is>
          <x:t xml:space="preserve">Dice Armor</x:t>
        </x:is>
      </x:c>
      <x:c r="C5" s="134" t="inlineStr">
        <x:is>
          <x:t xml:space="preserve">초월</x:t>
        </x:is>
      </x:c>
      <x:c r="D5" s="134" t="inlineStr">
        <x:is>
          <x:t xml:space="preserve">Vanguard</x:t>
        </x:is>
      </x:c>
      <x:c r="E5" s="134" t="inlineStr">
        <x:is>
          <x:t xml:space="preserve">근거리 방어형</x:t>
        </x:is>
      </x:c>
      <x:c r="F5" s="134" t="inlineStr">
        <x:is>
          <x:t xml:space="preserve">Melee</x:t>
        </x:is>
      </x:c>
      <x:c r="G5" s="134" t="n">
        <x:v>2.8</x:v>
      </x:c>
      <x:c r="H5" s="134" t="n">
        <x:v>650</x:v>
      </x:c>
      <x:c r="I5" s="134" t="n">
        <x:v>54</x:v>
      </x:c>
      <x:c r="J5" s="60" t="n">
        <x:v>0.2</x:v>
      </x:c>
      <x:c r="K5" s="134" t="n">
        <x:v>2</x:v>
      </x:c>
      <x:c r="L5" s="134" t="n">
        <x:v>1.05</x:v>
      </x:c>
      <x:c r="M5" s="134" t="n">
        <x:v>120</x:v>
      </x:c>
      <x:c r="N5" s="60" t="n">
        <x:v>0.065</x:v>
      </x:c>
      <x:c r="O5" s="60" t="n">
        <x:v>0.16</x:v>
      </x:c>
      <x:c r="P5" s="60" t="n">
        <x:v>0.18</x:v>
      </x:c>
      <x:c r="Q5" s="134" t="n">
        <x:v>0</x:v>
      </x:c>
      <x:c r="R5" s="134" t="inlineStr">
        <x:is>
          <x:t xml:space="preserve">철벽 돌진</x:t>
        </x:is>
      </x:c>
      <x:c r="S5" s="134" t="inlineStr">
        <x:is>
          <x:t xml:space="preserve">150% 피해, 10m 밀치기, 방어력/피해감소 5% 누적(최대 40%)</x:t>
        </x:is>
      </x:c>
      <x:c r="T5" s="134" t="inlineStr">
        <x:is>
          <x:t xml:space="preserve">스킬 발동마다 누적 생존력이 올라가는 전방 탱커</x:t>
        </x:is>
      </x:c>
    </x:row>
    <x:row r="6">
      <x:c r="A6" s="134" t="inlineStr">
        <x:is>
          <x:t xml:space="preserve">hero_56</x:t>
        </x:is>
      </x:c>
      <x:c r="B6" s="134" t="inlineStr">
        <x:is>
          <x:t xml:space="preserve">Dice Auto</x:t>
        </x:is>
      </x:c>
      <x:c r="C6" s="134" t="inlineStr">
        <x:is>
          <x:t xml:space="preserve">초월</x:t>
        </x:is>
      </x:c>
      <x:c r="D6" s="134" t="inlineStr">
        <x:is>
          <x:t xml:space="preserve">Ranger</x:t>
        </x:is>
      </x:c>
      <x:c r="E6" s="134" t="inlineStr">
        <x:is>
          <x:t xml:space="preserve">원거리 교대 폭격형</x:t>
        </x:is>
      </x:c>
      <x:c r="F6" s="134" t="inlineStr">
        <x:is>
          <x:t xml:space="preserve">Ranged</x:t>
        </x:is>
      </x:c>
      <x:c r="G6" s="134" t="n">
        <x:v>9.5</x:v>
      </x:c>
      <x:c r="H6" s="134" t="n">
        <x:v>390</x:v>
      </x:c>
      <x:c r="I6" s="134" t="n">
        <x:v>82</x:v>
      </x:c>
      <x:c r="J6" s="60" t="n">
        <x:v>0.2</x:v>
      </x:c>
      <x:c r="K6" s="134" t="n">
        <x:v>2.1</x:v>
      </x:c>
      <x:c r="L6" s="134" t="n">
        <x:v>1</x:v>
      </x:c>
      <x:c r="M6" s="134" t="n">
        <x:v>100</x:v>
      </x:c>
      <x:c r="N6" s="60" t="n">
        <x:v>0</x:v>
      </x:c>
      <x:c r="O6" s="60" t="n">
        <x:v>0</x:v>
      </x:c>
      <x:c r="P6" s="60" t="n">
        <x:v>0</x:v>
      </x:c>
      <x:c r="Q6" s="134" t="n">
        <x:v>22</x:v>
      </x:c>
      <x:c r="R6" s="134" t="inlineStr">
        <x:is>
          <x:t xml:space="preserve">격라운드 폭격</x:t>
        </x:is>
      </x:c>
      <x:c r="S6" s="134" t="inlineStr">
        <x:is>
          <x:t xml:space="preserve">다음 라운드부터 기동/휴식 반복, 기동 라운드 420%·4.5m 폭격</x:t>
        </x:is>
      </x:c>
      <x:c r="T6" s="134" t="inlineStr">
        <x:is>
          <x:t xml:space="preserve">소환 직후 spawn_idle 대기 후 다음 라운드 skill → idle, 이후 격라운드 휴식</x:t>
        </x:is>
      </x:c>
    </x:row>
    <x:row r="7">
      <x:c r="A7" s="134" t="inlineStr">
        <x:is>
          <x:t xml:space="preserve">hero_57</x:t>
        </x:is>
      </x:c>
      <x:c r="B7" s="134" t="inlineStr">
        <x:is>
          <x:t xml:space="preserve">Dice Broken</x:t>
        </x:is>
      </x:c>
      <x:c r="C7" s="134" t="inlineStr">
        <x:is>
          <x:t xml:space="preserve">초월</x:t>
        </x:is>
      </x:c>
      <x:c r="D7" s="134" t="inlineStr">
        <x:is>
          <x:t xml:space="preserve">Ranger</x:t>
        </x:is>
      </x:c>
      <x:c r="E7" s="134" t="inlineStr">
        <x:is>
          <x:t xml:space="preserve">원거리 변칙 사격형</x:t>
        </x:is>
      </x:c>
      <x:c r="F7" s="134" t="inlineStr">
        <x:is>
          <x:t xml:space="preserve">Ranged</x:t>
        </x:is>
      </x:c>
      <x:c r="G7" s="134" t="n">
        <x:v>9</x:v>
      </x:c>
      <x:c r="H7" s="134" t="n">
        <x:v>410</x:v>
      </x:c>
      <x:c r="I7" s="134" t="n">
        <x:v>64</x:v>
      </x:c>
      <x:c r="J7" s="60" t="n">
        <x:v>0.25</x:v>
      </x:c>
      <x:c r="K7" s="134" t="n">
        <x:v>2.15</x:v>
      </x:c>
      <x:c r="L7" s="134" t="n">
        <x:v>1.5</x:v>
      </x:c>
      <x:c r="M7" s="134" t="n">
        <x:v>120</x:v>
      </x:c>
      <x:c r="N7" s="60" t="n">
        <x:v>0.06</x:v>
      </x:c>
      <x:c r="O7" s="60" t="n">
        <x:v>0.08</x:v>
      </x:c>
      <x:c r="P7" s="60" t="n">
        <x:v>0.15</x:v>
      </x:c>
      <x:c r="Q7" s="134" t="n">
        <x:v>22</x:v>
      </x:c>
      <x:c r="R7" s="134" t="inlineStr">
        <x:is>
          <x:t xml:space="preserve">불규칙 난사</x:t>
        </x:is>
      </x:c>
      <x:c r="S7" s="134" t="inlineStr">
        <x:is>
          <x:t xml:space="preserve">랜덤 평타, 스킬은 120%×5 랜덤 사격·중복 대상 허용</x:t>
        </x:is>
      </x:c>
      <x:c r="T7" s="134" t="inlineStr">
        <x:is>
          <x:t xml:space="preserve">분산딜과 중복딜 운빨을 동시에 갖는 원거리 딜러</x:t>
        </x:is>
      </x:c>
    </x:row>
    <x:row r="9">
      <x:c r="A9" s="65" t="inlineStr">
        <x:is>
          <x:t xml:space="preserve">초월 레시피</x:t>
        </x:is>
      </x:c>
    </x:row>
    <x:row r="10">
      <x:c r="A10" s="54" t="inlineStr">
        <x:is>
          <x:t xml:space="preserve">결과 Hero</x:t>
        </x:is>
      </x:c>
      <x:c r="B10" s="54" t="inlineStr">
        <x:is>
          <x:t xml:space="preserve">레시피명</x:t>
        </x:is>
      </x:c>
      <x:c r="C10" s="54" t="inlineStr">
        <x:is>
          <x:t xml:space="preserve">설명</x:t>
        </x:is>
      </x:c>
      <x:c r="D10" s="54" t="inlineStr">
        <x:is>
          <x:t xml:space="preserve">필요 재료</x:t>
        </x:is>
      </x:c>
    </x:row>
    <x:row r="11">
      <x:c r="A11" s="134" t="inlineStr">
        <x:is>
          <x:t xml:space="preserve">hero_55</x:t>
        </x:is>
      </x:c>
      <x:c r="B11" s="134" t="inlineStr">
        <x:is>
          <x:t xml:space="preserve">Iron Bastion Rite</x:t>
        </x:is>
      </x:c>
      <x:c r="C11" s="134" t="inlineStr">
        <x:is>
          <x:t xml:space="preserve">Mythic Combat + Shield + Thornshield</x:t>
        </x:is>
      </x:c>
      <x:c r="D11" s="134" t="inlineStr">
        <x:is>
          <x:t xml:space="preserve">hero_31, hero_05, hero_22</x:t>
        </x:is>
      </x:c>
    </x:row>
    <x:row r="12">
      <x:c r="A12" s="134" t="inlineStr">
        <x:is>
          <x:t xml:space="preserve">hero_56</x:t>
        </x:is>
      </x:c>
      <x:c r="B12" s="134" t="inlineStr">
        <x:is>
          <x:t xml:space="preserve">Clockwork Barrage Rite</x:t>
        </x:is>
      </x:c>
      <x:c r="C12" s="134" t="inlineStr">
        <x:is>
          <x:t xml:space="preserve">Mythic Wolf + Battery + Wind</x:t>
        </x:is>
      </x:c>
      <x:c r="D12" s="134" t="inlineStr">
        <x:is>
          <x:t xml:space="preserve">hero_32, hero_13, hero_10</x:t>
        </x:is>
      </x:c>
    </x:row>
    <x:row r="13">
      <x:c r="A13" s="134" t="inlineStr">
        <x:is>
          <x:t xml:space="preserve">hero_57</x:t>
        </x:is>
      </x:c>
      <x:c r="B13" s="134" t="inlineStr">
        <x:is>
          <x:t xml:space="preserve">Fractured Arsenal Rite</x:t>
        </x:is>
      </x:c>
      <x:c r="C13" s="134" t="inlineStr">
        <x:is>
          <x:t xml:space="preserve">Mythic Infection + Assassin + Assault</x:t>
        </x:is>
      </x:c>
      <x:c r="D13" s="134" t="inlineStr">
        <x:is>
          <x:t xml:space="preserve">hero_33, hero_12, hero_06</x:t>
        </x:is>
      </x:c>
    </x:row>
    <x:row r="15">
      <x:c r="A15" s="65" t="inlineStr">
        <x:is>
          <x:t xml:space="preserve">전용 증강체</x:t>
        </x:is>
      </x:c>
    </x:row>
    <x:row r="16">
      <x:c r="A16" s="54" t="inlineStr">
        <x:is>
          <x:t xml:space="preserve">Hero</x:t>
        </x:is>
      </x:c>
      <x:c r="B16" s="54" t="inlineStr">
        <x:is>
          <x:t xml:space="preserve">Augment ID</x:t>
        </x:is>
      </x:c>
      <x:c r="C16" s="54" t="inlineStr">
        <x:is>
          <x:t xml:space="preserve">Tier</x:t>
        </x:is>
      </x:c>
      <x:c r="D16" s="54" t="inlineStr">
        <x:is>
          <x:t xml:space="preserve">Tier KR</x:t>
        </x:is>
      </x:c>
      <x:c r="E16" s="54" t="inlineStr">
        <x:is>
          <x:t xml:space="preserve">이름</x:t>
        </x:is>
      </x:c>
      <x:c r="F16" s="54" t="inlineStr">
        <x:is>
          <x:t xml:space="preserve">설명</x:t>
        </x:is>
      </x:c>
    </x:row>
    <x:row r="17">
      <x:c r="A17" s="134" t="inlineStr">
        <x:is>
          <x:t xml:space="preserve">hero_55</x:t>
        </x:is>
      </x:c>
      <x:c r="B17" s="134" t="inlineStr">
        <x:is>
          <x:t xml:space="preserve">hero55_impact_guard_n</x:t>
        </x:is>
      </x:c>
      <x:c r="C17" s="134" t="inlineStr">
        <x:is>
          <x:t xml:space="preserve">Normal</x:t>
        </x:is>
      </x:c>
      <x:c r="D17" s="134" t="inlineStr">
        <x:is>
          <x:t xml:space="preserve">일반</x:t>
        </x:is>
      </x:c>
      <x:c r="E17" s="134" t="inlineStr">
        <x:is>
          <x:t xml:space="preserve">충격 흡수판</x:t>
        </x:is>
      </x:c>
      <x:c r="F17" s="134" t="inlineStr">
        <x:is>
          <x:t xml:space="preserve">스킬 사용 시 5초 동안 최대 체력 12% 보호막을 얻습니다.</x:t>
        </x:is>
      </x:c>
    </x:row>
    <x:row r="18">
      <x:c r="A18" s="134" t="inlineStr">
        <x:is>
          <x:t xml:space="preserve">hero_55</x:t>
        </x:is>
      </x:c>
      <x:c r="B18" s="134" t="inlineStr">
        <x:is>
          <x:t xml:space="preserve">hero55_wall_quake_r</x:t>
        </x:is>
      </x:c>
      <x:c r="C18" s="134" t="inlineStr">
        <x:is>
          <x:t xml:space="preserve">Rare</x:t>
        </x:is>
      </x:c>
      <x:c r="D18" s="134" t="inlineStr">
        <x:is>
          <x:t xml:space="preserve">레어</x:t>
        </x:is>
      </x:c>
      <x:c r="E18" s="134" t="inlineStr">
        <x:is>
          <x:t xml:space="preserve">철벽 충격파</x:t>
        </x:is>
      </x:c>
      <x:c r="F18" s="134" t="inlineStr">
        <x:is>
          <x:t xml:space="preserve">스킬 착탄 지점 반경 3m에 공격력 90%의 추가 피해를 줍니다.</x:t>
        </x:is>
      </x:c>
    </x:row>
    <x:row r="19">
      <x:c r="A19" s="134" t="inlineStr">
        <x:is>
          <x:t xml:space="preserve">hero_55</x:t>
        </x:is>
      </x:c>
      <x:c r="B19" s="134" t="inlineStr">
        <x:is>
          <x:t xml:space="preserve">hero55_mobile_fortress_m</x:t>
        </x:is>
      </x:c>
      <x:c r="C19" s="134" t="inlineStr">
        <x:is>
          <x:t xml:space="preserve">Mythic</x:t>
        </x:is>
      </x:c>
      <x:c r="D19" s="134" t="inlineStr">
        <x:is>
          <x:t xml:space="preserve">신화급</x:t>
        </x:is>
      </x:c>
      <x:c r="E19" s="134" t="inlineStr">
        <x:is>
          <x:t xml:space="preserve">이동 성채</x:t>
        </x:is>
      </x:c>
      <x:c r="F19" s="134" t="inlineStr">
        <x:is>
          <x:t xml:space="preserve">스킬 착탄 지점 반경 3.4m에 공격력 140% 피해를 주고 6초간 보호막 20%, 피해 감소 30%를 얻습니다.</x:t>
        </x:is>
      </x:c>
    </x:row>
    <x:row r="20">
      <x:c r="A20" s="134" t="inlineStr">
        <x:is>
          <x:t xml:space="preserve">hero_56</x:t>
        </x:is>
      </x:c>
      <x:c r="B20" s="134" t="inlineStr">
        <x:is>
          <x:t xml:space="preserve">hero56_after_blast_n</x:t>
        </x:is>
      </x:c>
      <x:c r="C20" s="134" t="inlineStr">
        <x:is>
          <x:t xml:space="preserve">Normal</x:t>
        </x:is>
      </x:c>
      <x:c r="D20" s="134" t="inlineStr">
        <x:is>
          <x:t xml:space="preserve">일반</x:t>
        </x:is>
      </x:c>
      <x:c r="E20" s="134" t="inlineStr">
        <x:is>
          <x:t xml:space="preserve">잔류 폭격</x:t>
        </x:is>
      </x:c>
      <x:c r="F20" s="134" t="inlineStr">
        <x:is>
          <x:t xml:space="preserve">스킬 착탄 지점 반경 3m에 공격력 75%의 추가 폭발 피해를 줍니다.</x:t>
        </x:is>
      </x:c>
    </x:row>
    <x:row r="21">
      <x:c r="A21" s="134" t="inlineStr">
        <x:is>
          <x:t xml:space="preserve">hero_56</x:t>
        </x:is>
      </x:c>
      <x:c r="B21" s="134" t="inlineStr">
        <x:is>
          <x:t xml:space="preserve">hero56_twin_barrage_r</x:t>
        </x:is>
      </x:c>
      <x:c r="C21" s="134" t="inlineStr">
        <x:is>
          <x:t xml:space="preserve">Rare</x:t>
        </x:is>
      </x:c>
      <x:c r="D21" s="134" t="inlineStr">
        <x:is>
          <x:t xml:space="preserve">레어</x:t>
        </x:is>
      </x:c>
      <x:c r="E21" s="134" t="inlineStr">
        <x:is>
          <x:t xml:space="preserve">쌍발 폭격</x:t>
        </x:is>
      </x:c>
      <x:c r="F21" s="134" t="inlineStr">
        <x:is>
          <x:t xml:space="preserve">폭격 스킬을 위력 50%로 한 번 더 시전합니다.</x:t>
        </x:is>
      </x:c>
    </x:row>
    <x:row r="22">
      <x:c r="A22" s="134" t="inlineStr">
        <x:is>
          <x:t xml:space="preserve">hero_56</x:t>
        </x:is>
      </x:c>
      <x:c r="B22" s="134" t="inlineStr">
        <x:is>
          <x:t xml:space="preserve">hero56_orbital_restrike_m</x:t>
        </x:is>
      </x:c>
      <x:c r="C22" s="134" t="inlineStr">
        <x:is>
          <x:t xml:space="preserve">Mythic</x:t>
        </x:is>
      </x:c>
      <x:c r="D22" s="134" t="inlineStr">
        <x:is>
          <x:t xml:space="preserve">신화급</x:t>
        </x:is>
      </x:c>
      <x:c r="E22" s="134" t="inlineStr">
        <x:is>
          <x:t xml:space="preserve">궤도 재폭격</x:t>
        </x:is>
      </x:c>
      <x:c r="F22" s="134" t="inlineStr">
        <x:is>
          <x:t xml:space="preserve">폭격 스킬을 위력 80%로 재시전하고 착탄 지점 반경 3.6m에 공격력 120% 추가 피해를 줍니다.</x:t>
        </x:is>
      </x:c>
    </x:row>
    <x:row r="23">
      <x:c r="A23" s="134" t="inlineStr">
        <x:is>
          <x:t xml:space="preserve">hero_57</x:t>
        </x:is>
      </x:c>
      <x:c r="B23" s="134" t="inlineStr">
        <x:is>
          <x:t xml:space="preserve">hero57_spare_mag_n</x:t>
        </x:is>
      </x:c>
      <x:c r="C23" s="134" t="inlineStr">
        <x:is>
          <x:t xml:space="preserve">Normal</x:t>
        </x:is>
      </x:c>
      <x:c r="D23" s="134" t="inlineStr">
        <x:is>
          <x:t xml:space="preserve">일반</x:t>
        </x:is>
      </x:c>
      <x:c r="E23" s="134" t="inlineStr">
        <x:is>
          <x:t xml:space="preserve">예비 탄창</x:t>
        </x:is>
      </x:c>
      <x:c r="F23" s="134" t="inlineStr">
        <x:is>
          <x:t xml:space="preserve">스킬 사용 시 무작위 적에게 공격력 70% 추가 사격 2발을 발사합니다.</x:t>
        </x:is>
      </x:c>
    </x:row>
    <x:row r="24">
      <x:c r="A24" s="134" t="inlineStr">
        <x:is>
          <x:t xml:space="preserve">hero_57</x:t>
        </x:is>
      </x:c>
      <x:c r="B24" s="134" t="inlineStr">
        <x:is>
          <x:t xml:space="preserve">hero57_ricochet_r</x:t>
        </x:is>
      </x:c>
      <x:c r="C24" s="134" t="inlineStr">
        <x:is>
          <x:t xml:space="preserve">Rare</x:t>
        </x:is>
      </x:c>
      <x:c r="D24" s="134" t="inlineStr">
        <x:is>
          <x:t xml:space="preserve">레어</x:t>
        </x:is>
      </x:c>
      <x:c r="E24" s="134" t="inlineStr">
        <x:is>
          <x:t xml:space="preserve">파손 탄창 난사</x:t>
        </x:is>
      </x:c>
      <x:c r="F24" s="134" t="inlineStr">
        <x:is>
          <x:t xml:space="preserve">스킬 사용 시 무작위 적에게 공격력 80% 추가 사격 4발을 발사합니다. 같은 적을 다시 맞힐 수 있습니다.</x:t>
        </x:is>
      </x:c>
    </x:row>
    <x:row r="25">
      <x:c r="A25" s="134" t="inlineStr">
        <x:is>
          <x:t xml:space="preserve">hero_57</x:t>
        </x:is>
      </x:c>
      <x:c r="B25" s="134" t="inlineStr">
        <x:is>
          <x:t xml:space="preserve">hero57_chaos_mag_m</x:t>
        </x:is>
      </x:c>
      <x:c r="C25" s="134" t="inlineStr">
        <x:is>
          <x:t xml:space="preserve">Mythic</x:t>
        </x:is>
      </x:c>
      <x:c r="D25" s="134" t="inlineStr">
        <x:is>
          <x:t xml:space="preserve">신화급</x:t>
        </x:is>
      </x:c>
      <x:c r="E25" s="134" t="inlineStr">
        <x:is>
          <x:t xml:space="preserve">혼돈 탄창</x:t>
        </x:is>
      </x:c>
      <x:c r="F25" s="134" t="inlineStr">
        <x:is>
          <x:t xml:space="preserve">스킬 사용 시 무작위 적에게 공격력 90% 추가 사격 6발을 발사합니다. 같은 적을 다시 맞힐 수 있습니다.</x:t>
        </x:is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8" customWidth="1"/>
    <x:col min="3" max="3" width="11" customWidth="1"/>
    <x:col min="4" max="4" width="16" customWidth="1"/>
    <x:col min="5" max="5" width="10" customWidth="1"/>
    <x:col min="6" max="6" width="12" customWidth="1"/>
    <x:col min="7" max="7" width="10" customWidth="1"/>
    <x:col min="8" max="8" width="16" customWidth="1"/>
    <x:col min="9" max="9" width="20" customWidth="1"/>
    <x:col min="10" max="10" width="17" customWidth="1"/>
    <x:col min="11" max="11" width="14" customWidth="1"/>
    <x:col min="12" max="12" width="15" customWidth="1"/>
    <x:col min="13" max="13" width="11" customWidth="1"/>
    <x:col min="14" max="14" width="11" customWidth="1"/>
    <x:col min="15" max="15" width="11" customWidth="1"/>
    <x:col min="16" max="16" width="50" customWidth="1"/>
  </x:cols>
  <x:sheetData>
    <x:row r="1" ht="25" customHeight="1">
      <x:c r="A1" s="66" t="inlineStr">
        <x:is>
          <x:t xml:space="preserve">몬스터전투스킬</x:t>
        </x:is>
      </x:c>
    </x:row>
    <x:row r="2" ht="34" customHeight="1">
      <x:c r="A2" s="106" t="inlineStr">
        <x:is>
          <x:t xml:space="preserve">2026-07-23 Unity 스모크 기준. 기존 9종에 일반 근거리 mob_10 Boss_Slime, mob_11 Boss_TurtleShell을 추가했습니다. 11종 모두 프리팹, Missing Script, AttackHit·SkillHit·FireProjectile, 근거리/원거리, 평타·스킬 VFX 검증을 통과했습니다.</x:t>
        </x:is>
      </x:c>
    </x:row>
    <x:row r="4">
      <x:c r="A4" s="67" t="inlineStr">
        <x:is>
          <x:t xml:space="preserve">Monster ID</x:t>
        </x:is>
      </x:c>
      <x:c r="B4" s="67" t="inlineStr">
        <x:is>
          <x:t xml:space="preserve">프리팹/이름</x:t>
        </x:is>
      </x:c>
      <x:c r="C4" s="67" t="inlineStr">
        <x:is>
          <x:t xml:space="preserve">요청 타입</x:t>
        </x:is>
      </x:c>
      <x:c r="D4" s="67" t="inlineStr">
        <x:is>
          <x:t xml:space="preserve">코드 공격 타입</x:t>
        </x:is>
      </x:c>
      <x:c r="E4" s="67" t="inlineStr">
        <x:is>
          <x:t xml:space="preserve">사거리</x:t>
        </x:is>
      </x:c>
      <x:c r="F4" s="67" t="inlineStr">
        <x:is>
          <x:t xml:space="preserve">투사체속도</x:t>
        </x:is>
      </x:c>
      <x:c r="G4" s="67" t="inlineStr">
        <x:is>
          <x:t xml:space="preserve">이동속도</x:t>
        </x:is>
      </x:c>
      <x:c r="H4" s="67" t="inlineStr">
        <x:is>
          <x:t xml:space="preserve">평타 이벤트</x:t>
        </x:is>
      </x:c>
      <x:c r="I4" s="67" t="inlineStr">
        <x:is>
          <x:t xml:space="preserve">스킬 이벤트</x:t>
        </x:is>
      </x:c>
      <x:c r="J4" s="67" t="inlineStr">
        <x:is>
          <x:t xml:space="preserve">스킬 Muzzle VFX</x:t>
        </x:is>
      </x:c>
      <x:c r="K4" s="67" t="inlineStr">
        <x:is>
          <x:t xml:space="preserve">스킬 Hit VFX</x:t>
        </x:is>
      </x:c>
      <x:c r="L4" s="67" t="inlineStr">
        <x:is>
          <x:t xml:space="preserve">스킬 Area VFX</x:t>
        </x:is>
      </x:c>
      <x:c r="M4" s="67" t="inlineStr">
        <x:is>
          <x:t xml:space="preserve">평타 검증</x:t>
        </x:is>
      </x:c>
      <x:c r="N4" s="67" t="inlineStr">
        <x:is>
          <x:t xml:space="preserve">스킬 검증</x:t>
        </x:is>
      </x:c>
      <x:c r="O4" s="67" t="inlineStr">
        <x:is>
          <x:t xml:space="preserve">실패 사유</x:t>
        </x:is>
      </x:c>
      <x:c r="P4" s="67" t="inlineStr">
        <x:is>
          <x:t xml:space="preserve">메모</x:t>
        </x:is>
      </x:c>
    </x:row>
    <x:row r="5" ht="44" customHeight="1">
      <x:c r="A5" s="105" t="inlineStr">
        <x:is>
          <x:t xml:space="preserve">mob_01</x:t>
        </x:is>
      </x:c>
      <x:c r="B5" s="105" t="inlineStr">
        <x:is>
          <x:t xml:space="preserve">Boss_Golem</x:t>
        </x:is>
      </x:c>
      <x:c r="C5" s="105" t="inlineStr">
        <x:is>
          <x:t xml:space="preserve">근거리</x:t>
        </x:is>
      </x:c>
      <x:c r="D5" s="105" t="inlineStr">
        <x:is>
          <x:t xml:space="preserve">Melee</x:t>
        </x:is>
      </x:c>
      <x:c r="E5" s="105" t="n">
        <x:v>2.6</x:v>
      </x:c>
      <x:c r="F5" s="105" t="n">
        <x:v>8</x:v>
      </x:c>
      <x:c r="G5" s="105" t="n">
        <x:v>1.15</x:v>
      </x:c>
      <x:c r="H5" s="105" t="inlineStr">
        <x:is>
          <x:t xml:space="preserve">AttackHit</x:t>
        </x:is>
      </x:c>
      <x:c r="I5" s="105" t="inlineStr">
        <x:is>
          <x:t xml:space="preserve">SkillHit</x:t>
        </x:is>
      </x:c>
      <x:c r="J5" s="105" t="inlineStr">
        <x:is>
          <x:t xml:space="preserve">있음</x:t>
        </x:is>
      </x:c>
      <x:c r="K5" s="105" t="inlineStr">
        <x:is>
          <x:t xml:space="preserve">있음</x:t>
        </x:is>
      </x:c>
      <x:c r="L5" s="105" t="inlineStr">
        <x:is>
          <x:t xml:space="preserve">있음</x:t>
        </x:is>
      </x:c>
      <x:c r="M5" s="105" t="inlineStr">
        <x:is>
          <x:t xml:space="preserve">통과</x:t>
        </x:is>
      </x:c>
      <x:c r="N5" s="105" t="inlineStr">
        <x:is>
          <x:t xml:space="preserve">통과</x:t>
        </x:is>
      </x:c>
      <x:c r="O5" s="105" t="n"/>
      <x:c r="P5" s="105" t="inlineStr">
        <x:is>
          <x:t xml:space="preserve">대지 균열 전역 2기 피해·기절 / 암석 방벽 자가 회복·강화</x:t>
        </x:is>
      </x:c>
    </x:row>
    <x:row r="6" ht="44" customHeight="1">
      <x:c r="A6" s="105" t="inlineStr">
        <x:is>
          <x:t xml:space="preserve">mob_02</x:t>
        </x:is>
      </x:c>
      <x:c r="B6" s="105" t="inlineStr">
        <x:is>
          <x:t xml:space="preserve">Boss_Golem_Minion_Type1</x:t>
        </x:is>
      </x:c>
      <x:c r="C6" s="105" t="inlineStr">
        <x:is>
          <x:t xml:space="preserve">근거리</x:t>
        </x:is>
      </x:c>
      <x:c r="D6" s="105" t="inlineStr">
        <x:is>
          <x:t xml:space="preserve">Melee</x:t>
        </x:is>
      </x:c>
      <x:c r="E6" s="105" t="n">
        <x:v>1.8</x:v>
      </x:c>
      <x:c r="F6" s="105" t="n">
        <x:v>8</x:v>
      </x:c>
      <x:c r="G6" s="105" t="n">
        <x:v>1.8</x:v>
      </x:c>
      <x:c r="H6" s="105" t="inlineStr">
        <x:is>
          <x:t xml:space="preserve">AttackHit</x:t>
        </x:is>
      </x:c>
      <x:c r="I6" s="105" t="inlineStr">
        <x:is>
          <x:t xml:space="preserve">AttackHit fallback</x:t>
        </x:is>
      </x:c>
      <x:c r="J6" s="105" t="inlineStr">
        <x:is>
          <x:t xml:space="preserve">있음</x:t>
        </x:is>
      </x:c>
      <x:c r="K6" s="105" t="inlineStr">
        <x:is>
          <x:t xml:space="preserve">있음</x:t>
        </x:is>
      </x:c>
      <x:c r="L6" s="105" t="inlineStr">
        <x:is>
          <x:t xml:space="preserve">있음</x:t>
        </x:is>
      </x:c>
      <x:c r="M6" s="105" t="inlineStr">
        <x:is>
          <x:t xml:space="preserve">통과</x:t>
        </x:is>
      </x:c>
      <x:c r="N6" s="105" t="inlineStr">
        <x:is>
          <x:t xml:space="preserve">통과</x:t>
        </x:is>
      </x:c>
      <x:c r="O6" s="105" t="n"/>
      <x:c r="P6" s="105" t="inlineStr">
        <x:is>
          <x:t xml:space="preserve">근접 평타 / 단일 피해 스킬 시전 3m</x:t>
        </x:is>
      </x:c>
    </x:row>
    <x:row r="7" ht="44" customHeight="1">
      <x:c r="A7" s="105" t="inlineStr">
        <x:is>
          <x:t xml:space="preserve">mob_03</x:t>
        </x:is>
      </x:c>
      <x:c r="B7" s="105" t="inlineStr">
        <x:is>
          <x:t xml:space="preserve">Boss_Golem_Minion_Type2</x:t>
        </x:is>
      </x:c>
      <x:c r="C7" s="105" t="inlineStr">
        <x:is>
          <x:t xml:space="preserve">근거리</x:t>
        </x:is>
      </x:c>
      <x:c r="D7" s="105" t="inlineStr">
        <x:is>
          <x:t xml:space="preserve">Melee</x:t>
        </x:is>
      </x:c>
      <x:c r="E7" s="105" t="n">
        <x:v>1.9</x:v>
      </x:c>
      <x:c r="F7" s="105" t="n">
        <x:v>8</x:v>
      </x:c>
      <x:c r="G7" s="105" t="n">
        <x:v>0.9</x:v>
      </x:c>
      <x:c r="H7" s="105" t="inlineStr">
        <x:is>
          <x:t xml:space="preserve">AttackHit</x:t>
        </x:is>
      </x:c>
      <x:c r="I7" s="105" t="inlineStr">
        <x:is>
          <x:t xml:space="preserve">AttackHit fallback</x:t>
        </x:is>
      </x:c>
      <x:c r="J7" s="105" t="inlineStr">
        <x:is>
          <x:t xml:space="preserve">있음</x:t>
        </x:is>
      </x:c>
      <x:c r="K7" s="105" t="inlineStr">
        <x:is>
          <x:t xml:space="preserve">있음</x:t>
        </x:is>
      </x:c>
      <x:c r="L7" s="105" t="inlineStr">
        <x:is>
          <x:t xml:space="preserve">있음</x:t>
        </x:is>
      </x:c>
      <x:c r="M7" s="105" t="inlineStr">
        <x:is>
          <x:t xml:space="preserve">통과</x:t>
        </x:is>
      </x:c>
      <x:c r="N7" s="105" t="inlineStr">
        <x:is>
          <x:t xml:space="preserve">통과</x:t>
        </x:is>
      </x:c>
      <x:c r="O7" s="105" t="n"/>
      <x:c r="P7" s="105" t="inlineStr">
        <x:is>
          <x:t xml:space="preserve">근접 평타 / 이동속도 강화</x:t>
        </x:is>
      </x:c>
    </x:row>
    <x:row r="8" ht="44" customHeight="1">
      <x:c r="A8" s="105" t="inlineStr">
        <x:is>
          <x:t xml:space="preserve">mob_04</x:t>
        </x:is>
      </x:c>
      <x:c r="B8" s="105" t="inlineStr">
        <x:is>
          <x:t xml:space="preserve">Boss_Leon</x:t>
        </x:is>
      </x:c>
      <x:c r="C8" s="105" t="inlineStr">
        <x:is>
          <x:t xml:space="preserve">근거리</x:t>
        </x:is>
      </x:c>
      <x:c r="D8" s="105" t="inlineStr">
        <x:is>
          <x:t xml:space="preserve">Melee</x:t>
        </x:is>
      </x:c>
      <x:c r="E8" s="105" t="n">
        <x:v>2.4</x:v>
      </x:c>
      <x:c r="F8" s="105" t="n">
        <x:v>8</x:v>
      </x:c>
      <x:c r="G8" s="105" t="n">
        <x:v>1.1</x:v>
      </x:c>
      <x:c r="H8" s="105" t="inlineStr">
        <x:is>
          <x:t xml:space="preserve">AttackHit</x:t>
        </x:is>
      </x:c>
      <x:c r="I8" s="105" t="inlineStr">
        <x:is>
          <x:t xml:space="preserve">SkillHit</x:t>
        </x:is>
      </x:c>
      <x:c r="J8" s="105" t="inlineStr">
        <x:is>
          <x:t xml:space="preserve">있음</x:t>
        </x:is>
      </x:c>
      <x:c r="K8" s="105" t="inlineStr">
        <x:is>
          <x:t xml:space="preserve">있음</x:t>
        </x:is>
      </x:c>
      <x:c r="L8" s="105" t="inlineStr">
        <x:is>
          <x:t xml:space="preserve">있음</x:t>
        </x:is>
      </x:c>
      <x:c r="M8" s="105" t="inlineStr">
        <x:is>
          <x:t xml:space="preserve">통과</x:t>
        </x:is>
      </x:c>
      <x:c r="N8" s="105" t="inlineStr">
        <x:is>
          <x:t xml:space="preserve">통과</x:t>
        </x:is>
      </x:c>
      <x:c r="O8" s="105" t="n"/>
      <x:c r="P8" s="105" t="inlineStr">
        <x:is>
          <x:t xml:space="preserve">죽음의 서약만 명시적 전역 / 여왕의 속박 시전 3m</x:t>
        </x:is>
      </x:c>
    </x:row>
    <x:row r="9" ht="44" customHeight="1">
      <x:c r="A9" s="105" t="inlineStr">
        <x:is>
          <x:t xml:space="preserve">mob_05</x:t>
        </x:is>
      </x:c>
      <x:c r="B9" s="105" t="inlineStr">
        <x:is>
          <x:t xml:space="preserve">Boss_Leon_Minion_Type1</x:t>
        </x:is>
      </x:c>
      <x:c r="C9" s="105" t="inlineStr">
        <x:is>
          <x:t xml:space="preserve">원거리</x:t>
        </x:is>
      </x:c>
      <x:c r="D9" s="105" t="inlineStr">
        <x:is>
          <x:t xml:space="preserve">Ranged</x:t>
        </x:is>
      </x:c>
      <x:c r="E9" s="105" t="n">
        <x:v>3</x:v>
      </x:c>
      <x:c r="F9" s="105" t="n">
        <x:v>9.5</x:v>
      </x:c>
      <x:c r="G9" s="105" t="n">
        <x:v>1.35</x:v>
      </x:c>
      <x:c r="H9" s="105" t="inlineStr">
        <x:is>
          <x:t xml:space="preserve">FireProjectile</x:t>
        </x:is>
      </x:c>
      <x:c r="I9" s="105" t="inlineStr">
        <x:is>
          <x:t xml:space="preserve">SkillHit</x:t>
        </x:is>
      </x:c>
      <x:c r="J9" s="105" t="inlineStr">
        <x:is>
          <x:t xml:space="preserve">있음</x:t>
        </x:is>
      </x:c>
      <x:c r="K9" s="105" t="inlineStr">
        <x:is>
          <x:t xml:space="preserve">있음</x:t>
        </x:is>
      </x:c>
      <x:c r="L9" s="105" t="inlineStr">
        <x:is>
          <x:t xml:space="preserve">있음</x:t>
        </x:is>
      </x:c>
      <x:c r="M9" s="105" t="inlineStr">
        <x:is>
          <x:t xml:space="preserve">통과</x:t>
        </x:is>
      </x:c>
      <x:c r="N9" s="105" t="inlineStr">
        <x:is>
          <x:t xml:space="preserve">통과</x:t>
        </x:is>
      </x:c>
      <x:c r="O9" s="105" t="n"/>
      <x:c r="P9" s="105" t="inlineStr">
        <x:is>
          <x:t xml:space="preserve">원거리 평타 3m 상한 + 반격 불가 시 추가 접근 / 기절 시전 3m</x:t>
        </x:is>
      </x:c>
    </x:row>
    <x:row r="10" ht="44" customHeight="1">
      <x:c r="A10" s="105" t="inlineStr">
        <x:is>
          <x:t xml:space="preserve">mob_06</x:t>
        </x:is>
      </x:c>
      <x:c r="B10" s="105" t="inlineStr">
        <x:is>
          <x:t xml:space="preserve">Boss_Leon_Minion_Type2</x:t>
        </x:is>
      </x:c>
      <x:c r="C10" s="105" t="inlineStr">
        <x:is>
          <x:t xml:space="preserve">근거리</x:t>
        </x:is>
      </x:c>
      <x:c r="D10" s="105" t="inlineStr">
        <x:is>
          <x:t xml:space="preserve">Melee</x:t>
        </x:is>
      </x:c>
      <x:c r="E10" s="105" t="n">
        <x:v>1.8</x:v>
      </x:c>
      <x:c r="F10" s="105" t="n">
        <x:v>8</x:v>
      </x:c>
      <x:c r="G10" s="105" t="n">
        <x:v>1.2</x:v>
      </x:c>
      <x:c r="H10" s="105" t="inlineStr">
        <x:is>
          <x:t xml:space="preserve">AttackHit</x:t>
        </x:is>
      </x:c>
      <x:c r="I10" s="105" t="inlineStr">
        <x:is>
          <x:t xml:space="preserve">SkillHit</x:t>
        </x:is>
      </x:c>
      <x:c r="J10" s="105" t="inlineStr">
        <x:is>
          <x:t xml:space="preserve">있음</x:t>
        </x:is>
      </x:c>
      <x:c r="K10" s="105" t="inlineStr">
        <x:is>
          <x:t xml:space="preserve">있음</x:t>
        </x:is>
      </x:c>
      <x:c r="L10" s="105" t="inlineStr">
        <x:is>
          <x:t xml:space="preserve">있음</x:t>
        </x:is>
      </x:c>
      <x:c r="M10" s="105" t="inlineStr">
        <x:is>
          <x:t xml:space="preserve">통과</x:t>
        </x:is>
      </x:c>
      <x:c r="N10" s="105" t="inlineStr">
        <x:is>
          <x:t xml:space="preserve">통과</x:t>
        </x:is>
      </x:c>
      <x:c r="O10" s="105" t="n"/>
      <x:c r="P10" s="105" t="inlineStr">
        <x:is>
          <x:t xml:space="preserve">근접 평타 / 단일 피해 스킬 시전 3m</x:t>
        </x:is>
      </x:c>
    </x:row>
    <x:row r="11" ht="44" customHeight="1">
      <x:c r="A11" s="105" t="inlineStr">
        <x:is>
          <x:t xml:space="preserve">mob_07</x:t>
        </x:is>
      </x:c>
      <x:c r="B11" s="105" t="inlineStr">
        <x:is>
          <x:t xml:space="preserve">Boss_Magician</x:t>
        </x:is>
      </x:c>
      <x:c r="C11" s="105" t="inlineStr">
        <x:is>
          <x:t xml:space="preserve">원거리</x:t>
        </x:is>
      </x:c>
      <x:c r="D11" s="105" t="inlineStr">
        <x:is>
          <x:t xml:space="preserve">Ranged</x:t>
        </x:is>
      </x:c>
      <x:c r="E11" s="105" t="n">
        <x:v>3</x:v>
      </x:c>
      <x:c r="F11" s="105" t="n">
        <x:v>8.5</x:v>
      </x:c>
      <x:c r="G11" s="105" t="n">
        <x:v>1.9</x:v>
      </x:c>
      <x:c r="H11" s="105" t="inlineStr">
        <x:is>
          <x:t xml:space="preserve">FireProjectile</x:t>
        </x:is>
      </x:c>
      <x:c r="I11" s="105" t="inlineStr">
        <x:is>
          <x:t xml:space="preserve">SkillHit</x:t>
        </x:is>
      </x:c>
      <x:c r="J11" s="105" t="inlineStr">
        <x:is>
          <x:t xml:space="preserve">있음</x:t>
        </x:is>
      </x:c>
      <x:c r="K11" s="105" t="inlineStr">
        <x:is>
          <x:t xml:space="preserve">있음</x:t>
        </x:is>
      </x:c>
      <x:c r="L11" s="105" t="inlineStr">
        <x:is>
          <x:t xml:space="preserve">있음</x:t>
        </x:is>
      </x:c>
      <x:c r="M11" s="105" t="inlineStr">
        <x:is>
          <x:t xml:space="preserve">통과</x:t>
        </x:is>
      </x:c>
      <x:c r="N11" s="105" t="inlineStr">
        <x:is>
          <x:t xml:space="preserve">통과</x:t>
        </x:is>
      </x:c>
      <x:c r="O11" s="105" t="n"/>
      <x:c r="P11" s="105" t="inlineStr">
        <x:is>
          <x:t xml:space="preserve">원거리 평타 3m 상한 + 반격 불가 시 추가 접근 / 운석 반경 4m·마나 침식 전역</x:t>
        </x:is>
      </x:c>
    </x:row>
    <x:row r="12" ht="44" customHeight="1">
      <x:c r="A12" s="105" t="inlineStr">
        <x:is>
          <x:t xml:space="preserve">mob_08</x:t>
        </x:is>
      </x:c>
      <x:c r="B12" s="105" t="inlineStr">
        <x:is>
          <x:t xml:space="preserve">Boss_Magician_Minion_Type1</x:t>
        </x:is>
      </x:c>
      <x:c r="C12" s="105" t="inlineStr">
        <x:is>
          <x:t xml:space="preserve">근거리</x:t>
        </x:is>
      </x:c>
      <x:c r="D12" s="105" t="inlineStr">
        <x:is>
          <x:t xml:space="preserve">Melee</x:t>
        </x:is>
      </x:c>
      <x:c r="E12" s="105" t="n">
        <x:v>1.5</x:v>
      </x:c>
      <x:c r="F12" s="105" t="n">
        <x:v>8</x:v>
      </x:c>
      <x:c r="G12" s="105" t="n">
        <x:v>0.95</x:v>
      </x:c>
      <x:c r="H12" s="105" t="inlineStr">
        <x:is>
          <x:t xml:space="preserve">AttackHit</x:t>
        </x:is>
      </x:c>
      <x:c r="I12" s="105" t="inlineStr">
        <x:is>
          <x:t xml:space="preserve">SkillHit</x:t>
        </x:is>
      </x:c>
      <x:c r="J12" s="105" t="inlineStr">
        <x:is>
          <x:t xml:space="preserve">있음</x:t>
        </x:is>
      </x:c>
      <x:c r="K12" s="105" t="inlineStr">
        <x:is>
          <x:t xml:space="preserve">있음</x:t>
        </x:is>
      </x:c>
      <x:c r="L12" s="105" t="inlineStr">
        <x:is>
          <x:t xml:space="preserve">있음</x:t>
        </x:is>
      </x:c>
      <x:c r="M12" s="105" t="inlineStr">
        <x:is>
          <x:t xml:space="preserve">통과</x:t>
        </x:is>
      </x:c>
      <x:c r="N12" s="105" t="inlineStr">
        <x:is>
          <x:t xml:space="preserve">통과</x:t>
        </x:is>
      </x:c>
      <x:c r="O12" s="105" t="n"/>
      <x:c r="P12" s="105" t="inlineStr">
        <x:is>
          <x:t xml:space="preserve">근접 평타 / 이동속도 강화</x:t>
        </x:is>
      </x:c>
    </x:row>
    <x:row r="13" ht="44" customHeight="1">
      <x:c r="A13" s="105" t="inlineStr">
        <x:is>
          <x:t xml:space="preserve">mob_09</x:t>
        </x:is>
      </x:c>
      <x:c r="B13" s="105" t="inlineStr">
        <x:is>
          <x:t xml:space="preserve">Boss_Magician_Minion_Type2</x:t>
        </x:is>
      </x:c>
      <x:c r="C13" s="105" t="inlineStr">
        <x:is>
          <x:t xml:space="preserve">근거리</x:t>
        </x:is>
      </x:c>
      <x:c r="D13" s="105" t="inlineStr">
        <x:is>
          <x:t xml:space="preserve">Melee</x:t>
        </x:is>
      </x:c>
      <x:c r="E13" s="105" t="n">
        <x:v>1.8</x:v>
      </x:c>
      <x:c r="F13" s="105" t="n">
        <x:v>8</x:v>
      </x:c>
      <x:c r="G13" s="105" t="n">
        <x:v>1.12</x:v>
      </x:c>
      <x:c r="H13" s="105" t="inlineStr">
        <x:is>
          <x:t xml:space="preserve">AttackHit</x:t>
        </x:is>
      </x:c>
      <x:c r="I13" s="105" t="inlineStr">
        <x:is>
          <x:t xml:space="preserve">AttackHit fallback</x:t>
        </x:is>
      </x:c>
      <x:c r="J13" s="105" t="inlineStr">
        <x:is>
          <x:t xml:space="preserve">있음</x:t>
        </x:is>
      </x:c>
      <x:c r="K13" s="105" t="inlineStr">
        <x:is>
          <x:t xml:space="preserve">있음</x:t>
        </x:is>
      </x:c>
      <x:c r="L13" s="105" t="inlineStr">
        <x:is>
          <x:t xml:space="preserve">있음</x:t>
        </x:is>
      </x:c>
      <x:c r="M13" s="105" t="inlineStr">
        <x:is>
          <x:t xml:space="preserve">통과</x:t>
        </x:is>
      </x:c>
      <x:c r="N13" s="105" t="inlineStr">
        <x:is>
          <x:t xml:space="preserve">통과</x:t>
        </x:is>
      </x:c>
      <x:c r="O13" s="105" t="n"/>
      <x:c r="P13" s="105" t="inlineStr">
        <x:is>
          <x:t xml:space="preserve">근접 평타 / 기절 시전 3m</x:t>
        </x:is>
      </x:c>
    </x:row>
    <x:row r="14" ht="44" customHeight="1">
      <x:c r="A14" s="105" t="inlineStr">
        <x:is>
          <x:t xml:space="preserve">mob_10</x:t>
        </x:is>
      </x:c>
      <x:c r="B14" s="105" t="inlineStr">
        <x:is>
          <x:t xml:space="preserve">Boss_Slime</x:t>
        </x:is>
      </x:c>
      <x:c r="C14" s="105" t="inlineStr">
        <x:is>
          <x:t xml:space="preserve">근거리</x:t>
        </x:is>
      </x:c>
      <x:c r="D14" s="105" t="inlineStr">
        <x:is>
          <x:t xml:space="preserve">Melee</x:t>
        </x:is>
      </x:c>
      <x:c r="E14" s="105" t="n">
        <x:v>2.2</x:v>
      </x:c>
      <x:c r="F14" s="105" t="n">
        <x:v>8</x:v>
      </x:c>
      <x:c r="G14" s="105" t="n">
        <x:v>1.1</x:v>
      </x:c>
      <x:c r="H14" s="105" t="inlineStr">
        <x:is>
          <x:t xml:space="preserve">AttackHit</x:t>
        </x:is>
      </x:c>
      <x:c r="I14" s="105" t="inlineStr">
        <x:is>
          <x:t xml:space="preserve">SkillHit</x:t>
        </x:is>
      </x:c>
      <x:c r="J14" s="105" t="inlineStr">
        <x:is>
          <x:t xml:space="preserve">있음</x:t>
        </x:is>
      </x:c>
      <x:c r="K14" s="105" t="inlineStr">
        <x:is>
          <x:t xml:space="preserve">있음</x:t>
        </x:is>
      </x:c>
      <x:c r="L14" s="105" t="inlineStr">
        <x:is>
          <x:t xml:space="preserve">-</x:t>
        </x:is>
      </x:c>
      <x:c r="M14" s="105" t="inlineStr">
        <x:is>
          <x:t xml:space="preserve">Unity 통과</x:t>
        </x:is>
      </x:c>
      <x:c r="N14" s="105" t="inlineStr">
        <x:is>
          <x:t xml:space="preserve">Unity 통과</x:t>
        </x:is>
      </x:c>
      <x:c r="O14" s="105" t="n"/>
      <x:c r="P14" s="105" t="inlineStr">
        <x:is>
          <x:t xml:space="preserve">일반 Grunt / R30+ / 놀리기: 가장 가까운 유닛 공격력 -10%, 5초</x:t>
        </x:is>
      </x:c>
    </x:row>
    <x:row r="15" ht="44" customHeight="1">
      <x:c r="A15" s="105" t="inlineStr">
        <x:is>
          <x:t xml:space="preserve">mob_11</x:t>
        </x:is>
      </x:c>
      <x:c r="B15" s="105" t="inlineStr">
        <x:is>
          <x:t xml:space="preserve">Boss_TurtleShell</x:t>
        </x:is>
      </x:c>
      <x:c r="C15" s="105" t="inlineStr">
        <x:is>
          <x:t xml:space="preserve">근거리</x:t>
        </x:is>
      </x:c>
      <x:c r="D15" s="105" t="inlineStr">
        <x:is>
          <x:t xml:space="preserve">Melee</x:t>
        </x:is>
      </x:c>
      <x:c r="E15" s="105" t="n">
        <x:v>2</x:v>
      </x:c>
      <x:c r="F15" s="105" t="n">
        <x:v>8</x:v>
      </x:c>
      <x:c r="G15" s="105" t="n">
        <x:v>0.92</x:v>
      </x:c>
      <x:c r="H15" s="105" t="inlineStr">
        <x:is>
          <x:t xml:space="preserve">AttackHit</x:t>
        </x:is>
      </x:c>
      <x:c r="I15" s="105" t="inlineStr">
        <x:is>
          <x:t xml:space="preserve">SkillHit</x:t>
        </x:is>
      </x:c>
      <x:c r="J15" s="105" t="inlineStr">
        <x:is>
          <x:t xml:space="preserve">있음</x:t>
        </x:is>
      </x:c>
      <x:c r="K15" s="105" t="inlineStr">
        <x:is>
          <x:t xml:space="preserve">있음</x:t>
        </x:is>
      </x:c>
      <x:c r="L15" s="105" t="inlineStr">
        <x:is>
          <x:t xml:space="preserve">있음</x:t>
        </x:is>
      </x:c>
      <x:c r="M15" s="105" t="inlineStr">
        <x:is>
          <x:t xml:space="preserve">Unity 통과</x:t>
        </x:is>
      </x:c>
      <x:c r="N15" s="105" t="inlineStr">
        <x:is>
          <x:t xml:space="preserve">Unity 통과</x:t>
        </x:is>
      </x:c>
      <x:c r="O15" s="105" t="n"/>
      <x:c r="P15" s="105" t="inlineStr">
        <x:is>
          <x:t xml:space="preserve">일반 Brute / R40+ / 타운트: 받은 피해 10% 반사, 5초</x:t>
        </x:is>
      </x:c>
    </x:row>
    <x:row r="16" ht="30" customHeight="1"/>
    <x:row r="17" ht="30" customHeight="1">
      <x:c r="A17" s="103" t="inlineStr">
        <x:is>
          <x:t xml:space="preserve">2026-07-13 원거리·스킬 거리 정책</x:t>
        </x:is>
      </x:c>
      <x:c r="B17" s="107" t="n"/>
      <x:c r="C17" s="107" t="n"/>
      <x:c r="D17" s="107" t="n"/>
      <x:c r="E17" s="107" t="n"/>
      <x:c r="F17" s="107" t="n"/>
      <x:c r="G17" s="107" t="n"/>
      <x:c r="H17" s="107" t="n"/>
      <x:c r="I17" s="107" t="n"/>
      <x:c r="J17" s="107" t="n"/>
      <x:c r="K17" s="107" t="n"/>
      <x:c r="L17" s="107" t="n"/>
      <x:c r="M17" s="107" t="n"/>
      <x:c r="N17" s="107" t="n"/>
      <x:c r="O17" s="107" t="n"/>
      <x:c r="P17" s="108" t="n"/>
    </x:row>
    <x:row r="18" ht="30" customHeight="1">
      <x:c r="A18" s="104" t="inlineStr">
        <x:is>
          <x:t xml:space="preserve">원거리 평타</x:t>
        </x:is>
      </x:c>
      <x:c r="B18" s="107" t="n"/>
      <x:c r="C18" s="107" t="n"/>
      <x:c r="D18" s="108" t="n"/>
      <x:c r="E18" s="105" t="inlineStr">
        <x:is>
          <x:t xml:space="preserve">최대 3m. 살아 있는 유닛 중 누구도 반격할 수 없으면 0.12m 여유를 두고 추가 접근</x:t>
        </x:is>
      </x:c>
      <x:c r="F18" s="107" t="n"/>
      <x:c r="G18" s="107" t="n"/>
      <x:c r="H18" s="107" t="n"/>
      <x:c r="I18" s="107" t="n"/>
      <x:c r="J18" s="107" t="n"/>
      <x:c r="K18" s="107" t="n"/>
      <x:c r="L18" s="107" t="n"/>
      <x:c r="M18" s="107" t="n"/>
      <x:c r="N18" s="107" t="n"/>
      <x:c r="O18" s="107" t="n"/>
      <x:c r="P18" s="108" t="n"/>
    </x:row>
    <x:row r="19" ht="30" customHeight="1">
      <x:c r="A19" s="104" t="inlineStr">
        <x:is>
          <x:t xml:space="preserve">단일 피해·기절</x:t>
        </x:is>
      </x:c>
      <x:c r="B19" s="107" t="n"/>
      <x:c r="C19" s="107" t="n"/>
      <x:c r="D19" s="108" t="n"/>
      <x:c r="E19" s="105" t="inlineStr">
        <x:is>
          <x:t xml:space="preserve">기본 시전 거리 3m, useCustomCastRange 활성</x:t>
        </x:is>
      </x:c>
      <x:c r="F19" s="107" t="n"/>
      <x:c r="G19" s="107" t="n"/>
      <x:c r="H19" s="107" t="n"/>
      <x:c r="I19" s="107" t="n"/>
      <x:c r="J19" s="107" t="n"/>
      <x:c r="K19" s="107" t="n"/>
      <x:c r="L19" s="107" t="n"/>
      <x:c r="M19" s="107" t="n"/>
      <x:c r="N19" s="107" t="n"/>
      <x:c r="O19" s="107" t="n"/>
      <x:c r="P19" s="108" t="n"/>
    </x:row>
    <x:row r="20" ht="30" customHeight="1">
      <x:c r="A20" s="104" t="inlineStr">
        <x:is>
          <x:t xml:space="preserve">범위 피해</x:t>
        </x:is>
      </x:c>
      <x:c r="B20" s="107" t="n"/>
      <x:c r="C20" s="107" t="n"/>
      <x:c r="D20" s="108" t="n"/>
      <x:c r="E20" s="105" t="inlineStr">
        <x:is>
          <x:t xml:space="preserve">실제 반경 안에 살아 있는 유닛이 있을 때만 사용하며 적중 때 다시 거리 검증</x:t>
        </x:is>
      </x:c>
      <x:c r="F20" s="107" t="n"/>
      <x:c r="G20" s="107" t="n"/>
      <x:c r="H20" s="107" t="n"/>
      <x:c r="I20" s="107" t="n"/>
      <x:c r="J20" s="107" t="n"/>
      <x:c r="K20" s="107" t="n"/>
      <x:c r="L20" s="107" t="n"/>
      <x:c r="M20" s="107" t="n"/>
      <x:c r="N20" s="107" t="n"/>
      <x:c r="O20" s="107" t="n"/>
      <x:c r="P20" s="108" t="n"/>
    </x:row>
    <x:row r="21" ht="30" customHeight="1">
      <x:c r="A21" s="104" t="inlineStr">
        <x:is>
          <x:t xml:space="preserve">돌진</x:t>
        </x:is>
      </x:c>
      <x:c r="B21" s="107" t="n"/>
      <x:c r="C21" s="107" t="n"/>
      <x:c r="D21" s="108" t="n"/>
      <x:c r="E21" s="105" t="inlineStr">
        <x:is>
          <x:t xml:space="preserve">3.6m 안에서 사용, 최대 1.25m를 0.18초 동안 접근한 뒤 적중</x:t>
        </x:is>
      </x:c>
      <x:c r="F21" s="107" t="n"/>
      <x:c r="G21" s="107" t="n"/>
      <x:c r="H21" s="107" t="n"/>
      <x:c r="I21" s="107" t="n"/>
      <x:c r="J21" s="107" t="n"/>
      <x:c r="K21" s="107" t="n"/>
      <x:c r="L21" s="107" t="n"/>
      <x:c r="M21" s="107" t="n"/>
      <x:c r="N21" s="107" t="n"/>
      <x:c r="O21" s="107" t="n"/>
      <x:c r="P21" s="108" t="n"/>
    </x:row>
    <x:row r="22">
      <x:c r="A22" s="104" t="inlineStr">
        <x:is>
          <x:t xml:space="preserve">전역기</x:t>
        </x:is>
      </x:c>
      <x:c r="B22" s="107" t="n"/>
      <x:c r="C22" s="107" t="n"/>
      <x:c r="D22" s="108" t="n"/>
      <x:c r="E22" s="105" t="inlineStr">
        <x:is>
          <x:t xml:space="preserve">DeathPact·MassStun·GoldDrain·ManaBurn만 명시적으로 전역 허용</x:t>
        </x:is>
      </x:c>
      <x:c r="F22" s="107" t="n"/>
      <x:c r="G22" s="107" t="n"/>
      <x:c r="H22" s="107" t="n"/>
      <x:c r="I22" s="107" t="n"/>
      <x:c r="J22" s="107" t="n"/>
      <x:c r="K22" s="107" t="n"/>
      <x:c r="L22" s="107" t="n"/>
      <x:c r="M22" s="107" t="n"/>
      <x:c r="N22" s="107" t="n"/>
      <x:c r="O22" s="107" t="n"/>
      <x:c r="P22" s="108" t="n"/>
    </x:row>
    <x:row r="23">
      <x:c r="A23" s="104" t="inlineStr">
        <x:is>
          <x:t xml:space="preserve">몬스터 강화</x:t>
        </x:is>
      </x:c>
      <x:c r="B23" s="107" t="n"/>
      <x:c r="C23" s="107" t="n"/>
      <x:c r="D23" s="108" t="n"/>
      <x:c r="E23" s="105" t="inlineStr">
        <x:is>
          <x:t xml:space="preserve">기본 5.5m 오라 안의 살아 있는 몬스터만 강화</x:t>
        </x:is>
      </x:c>
      <x:c r="F23" s="107" t="n"/>
      <x:c r="G23" s="107" t="n"/>
      <x:c r="H23" s="107" t="n"/>
      <x:c r="I23" s="107" t="n"/>
      <x:c r="J23" s="107" t="n"/>
      <x:c r="K23" s="107" t="n"/>
      <x:c r="L23" s="107" t="n"/>
      <x:c r="M23" s="107" t="n"/>
      <x:c r="N23" s="107" t="n"/>
      <x:c r="O23" s="107" t="n"/>
      <x:c r="P23" s="108" t="n"/>
    </x:row>
  </x:sheetData>
  <x:mergeCells>
    <x:mergeCell ref="E20:P20"/>
    <x:mergeCell ref="A18:D18"/>
    <x:mergeCell ref="A23:D23"/>
    <x:mergeCell ref="A22:D22"/>
    <x:mergeCell ref="A1:P1"/>
    <x:mergeCell ref="E19:P19"/>
    <x:mergeCell ref="A17:P17"/>
    <x:mergeCell ref="A20:D20"/>
    <x:mergeCell ref="A21:D21"/>
    <x:mergeCell ref="E23:P23"/>
    <x:mergeCell ref="E22:P22"/>
    <x:mergeCell ref="A19:D19"/>
    <x:mergeCell ref="E18:P18"/>
    <x:mergeCell ref="E21:P21"/>
    <x:mergeCell ref="A2:P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4" customWidth="1"/>
    <x:col min="3" max="3" width="90" customWidth="1"/>
  </x:cols>
  <x:sheetData>
    <x:row r="1" ht="25" customHeight="1">
      <x:c r="A1" s="84" t="inlineStr">
        <x:is>
          <x:t xml:space="preserve">변경이력</x:t>
        </x:is>
      </x:c>
      <x:c r="B1" s="80" t="n"/>
      <x:c r="C1" s="81" t="n"/>
    </x:row>
    <x:row r="2" ht="34" customHeight="1">
      <x:c r="A2" s="87" t="inlineStr">
        <x:is>
          <x:t xml:space="preserve">이번 워크북 동기화에서 적용한 사항입니다.</x:t>
        </x:is>
      </x:c>
      <x:c r="B2" s="80" t="n"/>
      <x:c r="C2" s="81" t="n"/>
    </x:row>
    <x:row r="3">
      <x:c r="A3" s="87" t="n"/>
      <x:c r="B3" s="87" t="n"/>
      <x:c r="C3" s="87" t="n"/>
    </x:row>
    <x:row r="4">
      <x:c r="A4" s="88" t="inlineStr">
        <x:is>
          <x:t xml:space="preserve">날짜</x:t>
        </x:is>
      </x:c>
      <x:c r="B4" s="88" t="inlineStr">
        <x:is>
          <x:t xml:space="preserve">분류</x:t>
        </x:is>
      </x:c>
      <x:c r="C4" s="88" t="inlineStr">
        <x:is>
          <x:t xml:space="preserve">내용</x:t>
        </x:is>
      </x:c>
    </x:row>
    <x:row r="5">
      <x:c r="A5" s="87" t="inlineStr">
        <x:is>
          <x:t xml:space="preserve">2026-07-08</x:t>
        </x:is>
      </x:c>
      <x:c r="B5" s="87" t="inlineStr">
        <x:is>
          <x:t xml:space="preserve">openpyxl fallback</x:t>
        </x:is>
      </x:c>
      <x:c r="C5" s="87" t="inlineStr">
        <x:is>
          <x:t xml:space="preserve">@oai/artifact-tool 부재로 사용자가 fallback을 허용하여 openpyxl 3.1.5로 워크북 직접 갱신</x:t>
        </x:is>
      </x:c>
    </x:row>
    <x:row r="6">
      <x:c r="A6" s="87" t="inlineStr">
        <x:is>
          <x:t xml:space="preserve">2026-07-08</x:t>
        </x:is>
      </x:c>
      <x:c r="B6" s="87" t="inlineStr">
        <x:is>
          <x:t xml:space="preserve">불일치 교정</x:t>
        </x:is>
      </x:c>
      <x:c r="C6" s="87" t="inlineStr">
        <x:is>
          <x:t xml:space="preserve">기존 문자열 교정 2건: 시작 골드 30, Epic 12%, R3 미니상점 72%/100%, 빈 설명 표시 제거</x:t>
        </x:is>
      </x:c>
    </x:row>
    <x:row r="7">
      <x:c r="A7" s="87" t="inlineStr">
        <x:is>
          <x:t xml:space="preserve">2026-07-08</x:t>
        </x:is>
      </x:c>
      <x:c r="B7" s="87" t="inlineStr">
        <x:is>
          <x:t xml:space="preserve">신규 초월</x:t>
        </x:is>
      </x:c>
      <x:c r="C7" s="87" t="inlineStr">
        <x:is>
          <x:t xml:space="preserve">hero_55 Dice Armor, hero_56 Dice Auto, hero_57 Dice Broken 스탯/스킬/레시피/증강체 정리</x:t>
        </x:is>
      </x:c>
    </x:row>
    <x:row r="8">
      <x:c r="A8" s="87" t="inlineStr">
        <x:is>
          <x:t xml:space="preserve">2026-07-08</x:t>
        </x:is>
      </x:c>
      <x:c r="B8" s="87" t="inlineStr">
        <x:is>
          <x:t xml:space="preserve">소환 확률</x:t>
        </x:is>
      </x:c>
      <x:c r="C8" s="87" t="inlineStr">
        <x:is>
          <x:t xml:space="preserve">R1~50 직접 소환 확률표 최신 코드값 동기화</x:t>
        </x:is>
      </x:c>
    </x:row>
    <x:row r="9">
      <x:c r="A9" s="87" t="inlineStr">
        <x:is>
          <x:t xml:space="preserve">2026-07-08</x:t>
        </x:is>
      </x:c>
      <x:c r="B9" s="87" t="inlineStr">
        <x:is>
          <x:t xml:space="preserve">몬스터 전투 탭</x:t>
        </x:is>
      </x:c>
      <x:c r="C9" s="87" t="inlineStr">
        <x:is>
          <x:t xml:space="preserve">mob_01~mob_09 근거리/원거리, AttackHit·SkillHit·FireProjectile, VFX 바인딩 상태 정리</x:t>
        </x:is>
      </x:c>
    </x:row>
    <x:row r="10">
      <x:c r="A10" s="87" t="inlineStr">
        <x:is>
          <x:t xml:space="preserve">2026-07-08</x:t>
        </x:is>
      </x:c>
      <x:c r="B10" s="87" t="inlineStr">
        <x:is>
          <x:t xml:space="preserve">검증 결과</x:t>
        </x:is>
      </x:c>
      <x:c r="C10" s="87" t="inlineStr">
        <x:is>
          <x:t xml:space="preserve">최신 5판 3/5=60%, 이전 10판 7/10=70%, 신규 유닛/몬스터 스모크 PASS 요약</x:t>
        </x:is>
      </x:c>
    </x:row>
    <x:row r="11">
      <x:c r="A11" s="87" t="inlineStr">
        <x:is>
          <x:t xml:space="preserve">2026-07-09 11:55 KST</x:t>
        </x:is>
      </x:c>
      <x:c r="B11" s="87" t="inlineStr">
        <x:is>
          <x:t xml:space="preserve">운명카드 18장/3장 제시, 검증 상태, 5판 실측, 9점 후속작업 탭 동기화</x:t>
        </x:is>
      </x:c>
      <x:c r="C11" s="87" t="inlineStr">
        <x:is>
          <x:t xml:space="preserve">openpyxl fallback / Unity batch 신규 실측은 Editor 중복 실행으로 차단</x:t>
        </x:is>
      </x:c>
    </x:row>
    <x:row r="12">
      <x:c r="A12" s="87" t="inlineStr">
        <x:is>
          <x:t xml:space="preserve">2026-07-09 12:01 KST</x:t>
        </x:is>
      </x:c>
      <x:c r="B12" s="87" t="inlineStr">
        <x:is>
          <x:t xml:space="preserve">최신 5판 실측 R10 4/5=80% 및 보스/세로 스모크 pass 반영</x:t>
        </x:is>
      </x:c>
      <x:c r="C12" s="87" t="inlineStr">
        <x:is>
          <x:t xml:space="preserve">openpyxl fallback</x:t>
        </x:is>
      </x:c>
    </x:row>
    <x:row r="13">
      <x:c r="A13" s="136" t="inlineStr">
        <x:is>
          <x:t xml:space="preserve">2026-07-09 KST</x:t>
        </x:is>
      </x:c>
      <x:c r="B13" s="136" t="inlineStr">
        <x:is>
          <x:t xml:space="preserve">UI 정리</x:t>
        </x:is>
      </x:c>
      <x:c r="C13" s="136" t="inlineStr">
        <x:is>
          <x:t xml:space="preserve">상단 ‘합성 대기 중’ 상시 노출 제거, 합성 결과 배너로만 표시. 보스 목표 문구 축약.</x:t>
        </x:is>
      </x:c>
    </x:row>
    <x:row r="14">
      <x:c r="A14" s="136" t="inlineStr">
        <x:is>
          <x:t xml:space="preserve">2026-07-09 KST</x:t>
        </x:is>
      </x:c>
      <x:c r="B14" s="136" t="inlineStr">
        <x:is>
          <x:t xml:space="preserve">스폰/초반 밸런스</x:t>
        </x:is>
      </x:c>
      <x:c r="C14" s="136" t="inlineStr">
        <x:is>
          <x:t xml:space="preserve">몬스터 Initialize 시 목표 방향 FaceTarget 적용. 시작 골드 36, R3/R4 보급 6/5로 조정.</x:t>
        </x:is>
      </x:c>
    </x:row>
    <x:row r="15">
      <x:c r="A15" s="136" t="inlineStr">
        <x:is>
          <x:t xml:space="preserve">2026-07-09 KST</x:t>
        </x:is>
      </x:c>
      <x:c r="B15" s="136" t="inlineStr">
        <x:is>
          <x:t xml:space="preserve">Unity 5판 실측</x:t>
        </x:is>
      </x:c>
      <x:c r="C15" s="136" t="inlineStr">
        <x:is>
          <x:t xml:space="preserve">BatchTimeScale 96 유지 패치 후 R10 2/5=0.400. 목표보다 낮음.</x:t>
        </x:is>
      </x:c>
    </x:row>
    <x:row r="16" ht="30" customHeight="1">
      <x:c r="A16" s="136" t="inlineStr">
        <x:is>
          <x:t xml:space="preserve">2026-07-13 KST</x:t>
        </x:is>
      </x:c>
      <x:c r="B16" t="inlineStr">
        <x:is>
          <x:t xml:space="preserve">몬스터 원거리·스킬 거리 정책</x:t>
        </x:is>
      </x:c>
      <x:c r="C16" t="inlineStr">
        <x:is>
          <x:t xml:space="preserve">원거리 평타 3m 상한 및 반격 불가 시 접근, 단일기 3m·범위기 실반경·돌진 접근·전역기 명시 정책 적용. Unity 컴파일 0 오류, 9종 보스/애니메이션/VFX 스모크 PASS.</x:t>
        </x:is>
      </x:c>
    </x:row>
    <x:row r="17" ht="44" customHeight="1">
      <x:c r="A17" s="133" t="inlineStr">
        <x:is>
          <x:t xml:space="preserve">2026-07-17 KST</x:t>
        </x:is>
      </x:c>
      <x:c r="B17" s="133" t="inlineStr">
        <x:is>
          <x:t xml:space="preserve">동시사망 승리</x:t>
        </x:is>
      </x:c>
      <x:c r="C17" s="133" t="inlineStr">
        <x:is>
          <x:t xml:space="preserve">마지막 적 사망과 유저 HP 0이 같은 전투 프레임에 확정되면 HP 1 승리. 정적 정책 검사와 Play Mode 스모크 추가.</x:t>
        </x:is>
      </x:c>
      <x:c r="D17" s="133" t="n"/>
      <x:c r="E17" s="133" t="n"/>
      <x:c r="F17" s="133" t="n"/>
    </x:row>
    <x:row r="18" ht="44" customHeight="1">
      <x:c r="A18" s="133" t="inlineStr">
        <x:is>
          <x:t xml:space="preserve">2026-07-17 KST</x:t>
        </x:is>
      </x:c>
      <x:c r="B18" s="133" t="inlineStr">
        <x:is>
          <x:t xml:space="preserve">hero_32 확정</x:t>
        </x:is>
      </x:c>
      <x:c r="C18" s="133" t="inlineStr">
        <x:is>
          <x:t xml:space="preserve">야성의 추적탄 220%·35% 둔화 4초·30%/초 독 4초·공속 +25% 5초, 전용 증강 3종 동기화.</x:t>
        </x:is>
      </x:c>
      <x:c r="D18" s="133" t="n"/>
      <x:c r="E18" s="133" t="n"/>
      <x:c r="F18" s="133" t="n"/>
    </x:row>
    <x:row r="19" ht="44" customHeight="1">
      <x:c r="A19" s="133" t="inlineStr">
        <x:is>
          <x:t xml:space="preserve">2026-07-17 KST</x:t>
        </x:is>
      </x:c>
      <x:c r="B19" s="133" t="inlineStr">
        <x:is>
          <x:t xml:space="preserve">R10 튜닝</x:t>
        </x:is>
      </x:c>
      <x:c r="C19" s="133" t="inlineStr">
        <x:is>
          <x:t xml:space="preserve">골렘 보스 체력 배율 +6.9%, 공격 배율 +3.4%. 최신 인간형 3전략 5판 R10 4/5.</x:t>
        </x:is>
      </x:c>
      <x:c r="D19" s="133" t="n"/>
      <x:c r="E19" s="133" t="n"/>
      <x:c r="F19" s="133" t="n"/>
    </x:row>
    <x:row r="20" ht="44" customHeight="1">
      <x:c r="A20" s="133" t="inlineStr">
        <x:is>
          <x:t xml:space="preserve">2026-07-17 KST</x:t>
        </x:is>
      </x:c>
      <x:c r="B20" s="133" t="inlineStr">
        <x:is>
          <x:t xml:space="preserve">승리 결과 UI</x:t>
        </x:is>
      </x:c>
      <x:c r="C20" s="133" t="inlineStr">
        <x:is>
          <x:t xml:space="preserve">결과 요약·메타·다음 행동 텍스트 확대, 외곽선과 계속하기 버튼 크기 보강.</x:t>
        </x:is>
      </x:c>
      <x:c r="D20" s="133" t="n"/>
      <x:c r="E20" s="133" t="n"/>
      <x:c r="F20" s="133" t="n"/>
    </x:row>
    <x:row r="21" ht="44" customHeight="1">
      <x:c r="A21" s="133" t="inlineStr">
        <x:is>
          <x:t xml:space="preserve">2026-07-17 KST</x:t>
        </x:is>
      </x:c>
      <x:c r="B21" s="133" t="inlineStr">
        <x:is>
          <x:t xml:space="preserve">엑셀 동기화</x:t>
        </x:is>
      </x:c>
      <x:c r="C21" s="133" t="inlineStr">
        <x:is>
          <x:t xml:space="preserve">@oai/artifact-tool로 29개 시트 보존 편집, 전체 렌더와 수식 오류 검사를 수행.</x:t>
        </x:is>
      </x:c>
      <x:c r="D21" s="133" t="n"/>
      <x:c r="E21" s="133" t="n"/>
      <x:c r="F21" s="133" t="n"/>
    </x:row>
    <x:row r="22" ht="44" customHeight="1">
      <x:c r="A22" s="133" t="inlineStr">
        <x:is>
          <x:t xml:space="preserve">2026-07-23 KST</x:t>
        </x:is>
      </x:c>
      <x:c r="B22" s="133" t="inlineStr">
        <x:is>
          <x:t xml:space="preserve">일반 몬스터 추가</x:t>
        </x:is>
      </x:c>
      <x:c r="C22" s="133" t="inlineStr">
        <x:is>
          <x:t xml:space="preserve">mob_10 Boss_Slime(일반 근거리 Grunt, 공격력 -10% 5초)과 mob_11 Boss_TurtleShell(일반 근거리 Brute, 받은 피해 10% 반사 5초)을 일반 몬스터 풀·이벤트·VFX·스킬 표에 동기화. Unity 11종 스모크 PASS.</x:t>
        </x:is>
      </x:c>
      <x:c r="D22" s="133" t="n"/>
      <x:c r="E22" s="133" t="n"/>
      <x:c r="F22" s="133" t="n"/>
    </x:row>
    <x:row r="23" ht="36" customHeight="1">
      <x:c r="A23" s="226" t="str">
        <x:v>2026-08-06</x:v>
      </x:c>
      <x:c r="B23" s="226" t="str">
        <x:v>서비스형 획득·얏찌 제작 명세</x:v>
      </x:c>
      <x:c r="C23" s="226" t="str">
        <x:v>보유 유닛 소환, 등급별 채널, 티켓, 1~6배 상자, 인세션 충전, 신규 유닛 가중치, 구현 체크리스트 추가</x:v>
      </x:c>
    </x:row>
    <x:row r="24" ht="36" customHeight="1">
      <x:c r="A24" s="226" t="str">
        <x:v>2026-08-06</x:v>
      </x:c>
      <x:c r="B24" s="226" t="str">
        <x:v>전투 배속·옵션 일시정지</x:v>
      </x:c>
      <x:c r="C24" s="226" t="str">
        <x:v>활성 전투만 카운트하고 메뉴는 Time.timeScale 0 후 이전 배속 복원 기준 반영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7" customWidth="1"/>
    <x:col min="2" max="2" width="16" customWidth="1"/>
    <x:col min="3" max="3" width="14" customWidth="1"/>
    <x:col min="4" max="4" width="32" customWidth="1"/>
    <x:col min="5" max="5" width="32" customWidth="1"/>
    <x:col min="6" max="6" width="8" customWidth="1"/>
    <x:col min="7" max="7" width="18" customWidth="1"/>
    <x:col min="8" max="8" width="34" customWidth="1"/>
    <x:col min="9" max="9" width="12" customWidth="1"/>
  </x:cols>
  <x:sheetData>
    <x:row r="1" ht="24" customHeight="1">
      <x:c r="A1" s="71" t="inlineStr">
        <x:is>
          <x:t xml:space="preserve">운명카드 18장 / 전투 중 1회 / 3장 랜덤 제시</x:t>
        </x:is>
      </x:c>
      <x:c r="B1" s="80" t="n"/>
      <x:c r="C1" s="80" t="n"/>
      <x:c r="D1" s="80" t="n"/>
      <x:c r="E1" s="80" t="n"/>
      <x:c r="F1" s="80" t="n"/>
      <x:c r="G1" s="80" t="n"/>
      <x:c r="H1" s="80" t="n"/>
      <x:c r="I1" s="81" t="n"/>
    </x:row>
    <x:row r="2" ht="15" customHeight="1">
      <x:c r="A2" s="73" t="inlineStr">
        <x:is>
          <x:t xml:space="preserve">준비 단계에는 숨김. 전투 시작 후 버튼이 올라오며 클릭하면 0.1배 슬로우 중 3장을 제시한다. 각 카드에는 즉시 효과와 운명 빚 수치가 함께 표시되고, 1장 선택 후 UI는 내려가며 해당 런에는 다시 나타나지 않는다.</x:t>
        </x:is>
      </x:c>
      <x:c r="B2" s="80" t="n"/>
      <x:c r="C2" s="80" t="n"/>
      <x:c r="D2" s="80" t="n"/>
      <x:c r="E2" s="80" t="n"/>
      <x:c r="F2" s="80" t="n"/>
      <x:c r="G2" s="80" t="n"/>
      <x:c r="H2" s="80" t="n"/>
      <x:c r="I2" s="81" t="n"/>
    </x:row>
    <x:row r="3">
      <x:c r="A3" s="73" t="n"/>
      <x:c r="B3" s="73" t="n"/>
      <x:c r="C3" s="73" t="n"/>
      <x:c r="D3" s="73" t="n"/>
      <x:c r="E3" s="73" t="n"/>
      <x:c r="F3" s="73" t="n"/>
      <x:c r="G3" s="73" t="n"/>
      <x:c r="H3" s="73" t="n"/>
      <x:c r="I3" s="73" t="n"/>
    </x:row>
    <x:row r="4">
      <x:c r="A4" s="74" t="inlineStr">
        <x:is>
          <x:t xml:space="preserve">No</x:t>
        </x:is>
      </x:c>
      <x:c r="B4" s="74" t="inlineStr">
        <x:is>
          <x:t xml:space="preserve">카드명</x:t>
        </x:is>
      </x:c>
      <x:c r="C4" s="74" t="inlineStr">
        <x:is>
          <x:t xml:space="preserve">성격</x:t>
        </x:is>
      </x:c>
      <x:c r="D4" s="74" t="inlineStr">
        <x:is>
          <x:t xml:space="preserve">즉시 이득</x:t>
        </x:is>
      </x:c>
      <x:c r="E4" s="74" t="inlineStr">
        <x:is>
          <x:t xml:space="preserve">대가/반동</x:t>
        </x:is>
      </x:c>
      <x:c r="F4" s="74" t="inlineStr">
        <x:is>
          <x:t xml:space="preserve">빚</x:t>
        </x:is>
      </x:c>
      <x:c r="G4" s="74" t="inlineStr">
        <x:is>
          <x:t xml:space="preserve">주 사용 타이밍</x:t>
        </x:is>
      </x:c>
      <x:c r="H4" s="74" t="inlineStr">
        <x:is>
          <x:t xml:space="preserve">추천/주의</x:t>
        </x:is>
      </x:c>
      <x:c r="I4" s="74" t="inlineStr">
        <x:is>
          <x:t xml:space="preserve">구현 상태</x:t>
        </x:is>
      </x:c>
    </x:row>
    <x:row r="5" ht="24" customHeight="1">
      <x:c r="A5" s="73" t="n">
        <x:v>1</x:v>
      </x:c>
      <x:c r="B5" s="77" t="inlineStr">
        <x:is>
          <x:t xml:space="preserve">왕의 공포</x:t>
        </x:is>
      </x:c>
      <x:c r="C5" s="73" t="inlineStr">
        <x:is>
          <x:t xml:space="preserve">위기 돌파</x:t>
        </x:is>
      </x:c>
      <x:c r="D5" s="73" t="inlineStr">
        <x:is>
          <x:t xml:space="preserve">현재+이후 등장 몬스터 체력·공격·이속·공속 90% 붕괴</x:t>
        </x:is>
      </x:c>
      <x:c r="E5" s="73" t="inlineStr">
        <x:is>
          <x:t xml:space="preserve">다음 라운드 적 수 +50%</x:t>
        </x:is>
      </x:c>
      <x:c r="F5" s="73" t="n">
        <x:v>86</x:v>
      </x:c>
      <x:c r="G5" s="73" t="inlineStr">
        <x:is>
          <x:t xml:space="preserve">전멸 직전/보스 압박</x:t>
        </x:is>
      </x:c>
      <x:c r="H5" s="73" t="inlineStr">
        <x:is>
          <x:t xml:space="preserve">이번 라운드 등장 전체 적용. 가장 강한 즉시 돌파 카드</x:t>
        </x:is>
      </x:c>
      <x:c r="I5" s="73" t="inlineStr">
        <x:is>
          <x:t xml:space="preserve">전투중 구현</x:t>
        </x:is>
      </x:c>
    </x:row>
    <x:row r="6" ht="24" customHeight="1">
      <x:c r="A6" s="73" t="n">
        <x:v>2</x:v>
      </x:c>
      <x:c r="B6" s="77" t="inlineStr">
        <x:is>
          <x:t xml:space="preserve">전장 개방</x:t>
        </x:is>
      </x:c>
      <x:c r="C6" s="73" t="inlineStr">
        <x:is>
          <x:t xml:space="preserve">전투 중 편집</x:t>
        </x:is>
      </x:c>
      <x:c r="D6" s="73" t="inlineStr">
        <x:is>
          <x:t xml:space="preserve">골드 +75, 이번 라운드 소환·합성 허용</x:t>
        </x:is>
      </x:c>
      <x:c r="E6" s="73" t="inlineStr">
        <x:is>
          <x:t xml:space="preserve">현재 HP 절반 지불</x:t>
        </x:is>
      </x:c>
      <x:c r="F6" s="73" t="n">
        <x:v>80</x:v>
      </x:c>
      <x:c r="G6" s="73" t="inlineStr">
        <x:is>
          <x:t xml:space="preserve">전투 중 조합이 막혔을 때</x:t>
        </x:is>
      </x:c>
      <x:c r="H6" s="73" t="inlineStr">
        <x:is>
          <x:t xml:space="preserve">즉시 판을 다시 짤 수 있지만 생존력이 크게 감소</x:t>
        </x:is>
      </x:c>
      <x:c r="I6" s="73" t="inlineStr">
        <x:is>
          <x:t xml:space="preserve">전투중 구현</x:t>
        </x:is>
      </x:c>
    </x:row>
    <x:row r="7" ht="24" customHeight="1">
      <x:c r="A7" s="73" t="n">
        <x:v>3</x:v>
      </x:c>
      <x:c r="B7" s="77" t="inlineStr">
        <x:is>
          <x:t xml:space="preserve">피의 계약</x:t>
        </x:is>
      </x:c>
      <x:c r="C7" s="73" t="inlineStr">
        <x:is>
          <x:t xml:space="preserve">완전 회복</x:t>
        </x:is>
      </x:c>
      <x:c r="D7" s="73" t="inlineStr">
        <x:is>
          <x:t xml:space="preserve">HP 전부 회복, 모든 유닛 전부 회복</x:t>
        </x:is>
      </x:c>
      <x:c r="E7" s="73" t="inlineStr">
        <x:is>
          <x:t xml:space="preserve">운명 빚으로 보스 HP·상점가 상승</x:t>
        </x:is>
      </x:c>
      <x:c r="F7" s="73" t="n">
        <x:v>76</x:v>
      </x:c>
      <x:c r="G7" s="73" t="inlineStr">
        <x:is>
          <x:t xml:space="preserve">라이프/유닛 체력이 위험할 때</x:t>
        </x:is>
      </x:c>
      <x:c r="H7" s="73" t="inlineStr">
        <x:is>
          <x:t xml:space="preserve">가장 직관적인 생존 카드</x:t>
        </x:is>
      </x:c>
      <x:c r="I7" s="73" t="inlineStr">
        <x:is>
          <x:t xml:space="preserve">전투중 구현</x:t>
        </x:is>
      </x:c>
    </x:row>
    <x:row r="8" ht="24" customHeight="1">
      <x:c r="A8" s="73" t="n">
        <x:v>4</x:v>
      </x:c>
      <x:c r="B8" s="77" t="inlineStr">
        <x:is>
          <x:t xml:space="preserve">금단의 소환</x:t>
        </x:is>
      </x:c>
      <x:c r="C8" s="73" t="inlineStr">
        <x:is>
          <x:t xml:space="preserve">즉시 전력</x:t>
        </x:is>
      </x:c>
      <x:c r="D8" s="73" t="inlineStr">
        <x:is>
          <x:t xml:space="preserve">전설 유닛 1개 즉시 획득</x:t>
        </x:is>
      </x:c>
      <x:c r="E8" s="73" t="inlineStr">
        <x:is>
          <x:t xml:space="preserve">이번 포함 3라운드 소환비 +40%</x:t>
        </x:is>
      </x:c>
      <x:c r="F8" s="73" t="n">
        <x:v>82</x:v>
      </x:c>
      <x:c r="G8" s="73" t="inlineStr">
        <x:is>
          <x:t xml:space="preserve">화력이 부족하고 빈 슬롯이 있을 때</x:t>
        </x:is>
      </x:c>
      <x:c r="H8" s="73" t="inlineStr">
        <x:is>
          <x:t xml:space="preserve">빈 슬롯이 없으면 3장 후보에서 제외</x:t>
        </x:is>
      </x:c>
      <x:c r="I8" s="73" t="inlineStr">
        <x:is>
          <x:t xml:space="preserve">전투중 구현</x:t>
        </x:is>
      </x:c>
    </x:row>
    <x:row r="9" ht="24" customHeight="1">
      <x:c r="A9" s="73" t="n">
        <x:v>5</x:v>
      </x:c>
      <x:c r="B9" s="77" t="inlineStr">
        <x:is>
          <x:t xml:space="preserve">도박사의 판</x:t>
        </x:is>
      </x:c>
      <x:c r="C9" s="73" t="inlineStr">
        <x:is>
          <x:t xml:space="preserve">운빨 역전</x:t>
        </x:is>
      </x:c>
      <x:c r="D9" s="73" t="inlineStr">
        <x:is>
          <x:t xml:space="preserve">70% 성공: 현재 골드만큼(최소 20G) 획득+전투 편집</x:t>
        </x:is>
      </x:c>
      <x:c r="E9" s="73" t="inlineStr">
        <x:is>
          <x:t xml:space="preserve">실패: HP -2, 현재 적 2초 기절</x:t>
        </x:is>
      </x:c>
      <x:c r="F9" s="73" t="n">
        <x:v>58</x:v>
      </x:c>
      <x:c r="G9" s="73" t="inlineStr">
        <x:is>
          <x:t xml:space="preserve">골드 고점 또는 짧은 생존 시간이 필요할 때</x:t>
        </x:is>
      </x:c>
      <x:c r="H9" s="73" t="inlineStr">
        <x:is>
          <x:t xml:space="preserve">성공은 재편집, 실패도 2초 기절로 최소 탈출 시간 제공</x:t>
        </x:is>
      </x:c>
      <x:c r="I9" s="73" t="inlineStr">
        <x:is>
          <x:t xml:space="preserve">전투중 구현</x:t>
        </x:is>
      </x:c>
    </x:row>
    <x:row r="10" ht="24" customHeight="1">
      <x:c r="A10" s="73" t="n">
        <x:v>6</x:v>
      </x:c>
      <x:c r="B10" s="77" t="inlineStr">
        <x:is>
          <x:t xml:space="preserve">최후의 방벽</x:t>
        </x:is>
      </x:c>
      <x:c r="C10" s="73" t="inlineStr">
        <x:is>
          <x:t xml:space="preserve">누수 차단</x:t>
        </x:is>
      </x:c>
      <x:c r="D10" s="73" t="inlineStr">
        <x:is>
          <x:t xml:space="preserve">이번 라운드 방어선 돌파 피해 0</x:t>
        </x:is>
      </x:c>
      <x:c r="E10" s="73" t="inlineStr">
        <x:is>
          <x:t xml:space="preserve">다음 라운드 적 수 +50%</x:t>
        </x:is>
      </x:c>
      <x:c r="F10" s="73" t="n">
        <x:v>72</x:v>
      </x:c>
      <x:c r="G10" s="73" t="inlineStr">
        <x:is>
          <x:t xml:space="preserve">누수가 확정됐을 때</x:t>
        </x:is>
      </x:c>
      <x:c r="H10" s="73" t="inlineStr">
        <x:is>
          <x:t xml:space="preserve">현재 라운드를 살리고 다음 라운드 압박을 예약</x:t>
        </x:is>
      </x:c>
      <x:c r="I10" s="73" t="inlineStr">
        <x:is>
          <x:t xml:space="preserve">전투중 구현</x:t>
        </x:is>
      </x:c>
    </x:row>
    <x:row r="11" ht="24" customHeight="1">
      <x:c r="A11" s="73" t="n">
        <x:v>7</x:v>
      </x:c>
      <x:c r="B11" s="77" t="inlineStr">
        <x:is>
          <x:t xml:space="preserve">황금 대출</x:t>
        </x:is>
      </x:c>
      <x:c r="C11" s="73" t="inlineStr">
        <x:is>
          <x:t xml:space="preserve">긴급 자금</x:t>
        </x:is>
      </x:c>
      <x:c r="D11" s="73" t="inlineStr">
        <x:is>
          <x:t xml:space="preserve">골드 +75, 이번 라운드 소환·합성 허용</x:t>
        </x:is>
      </x:c>
      <x:c r="E11" s="73" t="inlineStr">
        <x:is>
          <x:t xml:space="preserve">다음 라운드 적 수 +50%</x:t>
        </x:is>
      </x:c>
      <x:c r="F11" s="73" t="n">
        <x:v>74</x:v>
      </x:c>
      <x:c r="G11" s="73" t="inlineStr">
        <x:is>
          <x:t xml:space="preserve">즉시 소환/합성 자금이 필요할 때</x:t>
        </x:is>
      </x:c>
      <x:c r="H11" s="73" t="inlineStr">
        <x:is>
          <x:t xml:space="preserve">전투 잠금 중에도 받은 골드를 바로 사용 가능</x:t>
        </x:is>
      </x:c>
      <x:c r="I11" s="73" t="inlineStr">
        <x:is>
          <x:t xml:space="preserve">전투중 구현</x:t>
        </x:is>
      </x:c>
    </x:row>
    <x:row r="12" ht="24" customHeight="1">
      <x:c r="A12" s="73" t="n">
        <x:v>8</x:v>
      </x:c>
      <x:c r="B12" s="77" t="inlineStr">
        <x:is>
          <x:t xml:space="preserve">용병 호출</x:t>
        </x:is>
      </x:c>
      <x:c r="C12" s="73" t="inlineStr">
        <x:is>
          <x:t xml:space="preserve">보드 보강</x:t>
        </x:is>
      </x:c>
      <x:c r="D12" s="73" t="inlineStr">
        <x:is>
          <x:t xml:space="preserve">레어 유닛 최대 2개 즉시 획득</x:t>
        </x:is>
      </x:c>
      <x:c r="E12" s="73" t="inlineStr">
        <x:is>
          <x:t xml:space="preserve">HP -2</x:t>
        </x:is>
      </x:c>
      <x:c r="F12" s="73" t="n">
        <x:v>68</x:v>
      </x:c>
      <x:c r="G12" s="73" t="inlineStr">
        <x:is>
          <x:t xml:space="preserve">빈 슬롯과 즉시 화력이 필요할 때</x:t>
        </x:is>
      </x:c>
      <x:c r="H12" s="73" t="inlineStr">
        <x:is>
          <x:t xml:space="preserve">빈 슬롯이 없으면 3장 후보에서 제외</x:t>
        </x:is>
      </x:c>
      <x:c r="I12" s="73" t="inlineStr">
        <x:is>
          <x:t xml:space="preserve">전투중 구현</x:t>
        </x:is>
      </x:c>
    </x:row>
    <x:row r="13" ht="24" customHeight="1">
      <x:c r="A13" s="73" t="n">
        <x:v>9</x:v>
      </x:c>
      <x:c r="B13" s="77" t="inlineStr">
        <x:is>
          <x:t xml:space="preserve">에픽 선불</x:t>
        </x:is>
      </x:c>
      <x:c r="C13" s="73" t="inlineStr">
        <x:is>
          <x:t xml:space="preserve">선불 성장</x:t>
        </x:is>
      </x:c>
      <x:c r="D13" s="73" t="inlineStr">
        <x:is>
          <x:t xml:space="preserve">에픽 유닛 1개+골드 +25</x:t>
        </x:is>
      </x:c>
      <x:c r="E13" s="73" t="inlineStr">
        <x:is>
          <x:t xml:space="preserve">이번 포함 2라운드 소환비 +30%</x:t>
        </x:is>
      </x:c>
      <x:c r="F13" s="73" t="n">
        <x:v>72</x:v>
      </x:c>
      <x:c r="G13" s="73" t="inlineStr">
        <x:is>
          <x:t xml:space="preserve">핵심 재료와 즉시 화력이 필요할 때</x:t>
        </x:is>
      </x:c>
      <x:c r="H13" s="73" t="inlineStr">
        <x:is>
          <x:t xml:space="preserve">빈 슬롯이 없으면 3장 후보에서 제외</x:t>
        </x:is>
      </x:c>
      <x:c r="I13" s="73" t="inlineStr">
        <x:is>
          <x:t xml:space="preserve">전투중 구현</x:t>
        </x:is>
      </x:c>
    </x:row>
    <x:row r="14" ht="15" customHeight="1">
      <x:c r="A14" s="73" t="n">
        <x:v>10</x:v>
      </x:c>
      <x:c r="B14" s="77" t="inlineStr">
        <x:is>
          <x:t xml:space="preserve">신화 임대</x:t>
        </x:is>
      </x:c>
      <x:c r="C14" s="73" t="inlineStr">
        <x:is>
          <x:t xml:space="preserve">초고위험 전력</x:t>
        </x:is>
      </x:c>
      <x:c r="D14" s="73" t="inlineStr">
        <x:is>
          <x:t xml:space="preserve">신화 유닛 1개 즉시 획득</x:t>
        </x:is>
      </x:c>
      <x:c r="E14" s="73" t="inlineStr">
        <x:is>
          <x:t xml:space="preserve">HP 1, 다음 라운드 적 수 +50%</x:t>
        </x:is>
      </x:c>
      <x:c r="F14" s="73" t="n">
        <x:v>96</x:v>
      </x:c>
      <x:c r="G14" s="73" t="inlineStr">
        <x:is>
          <x:t xml:space="preserve">막판 역전/보스 마무리</x:t>
        </x:is>
      </x:c>
      <x:c r="H14" s="73" t="inlineStr">
        <x:is>
          <x:t xml:space="preserve">빈 슬롯이 없으면 제외. 가장 큰 빚과 생존 대가</x:t>
        </x:is>
      </x:c>
      <x:c r="I14" s="73" t="inlineStr">
        <x:is>
          <x:t xml:space="preserve">전투중 구현</x:t>
        </x:is>
      </x:c>
    </x:row>
    <x:row r="15" ht="24" customHeight="1">
      <x:c r="A15" s="73" t="n">
        <x:v>11</x:v>
      </x:c>
      <x:c r="B15" s="77" t="inlineStr">
        <x:is>
          <x:t xml:space="preserve">암시장 개장</x:t>
        </x:is>
      </x:c>
      <x:c r="C15" s="73" t="inlineStr">
        <x:is>
          <x:t xml:space="preserve">마나·상점</x:t>
        </x:is>
      </x:c>
      <x:c r="D15" s="73" t="inlineStr">
        <x:is>
          <x:t xml:space="preserve">골드 +45, 모든 유닛 마나 60% 회복, 다음 상점 확정</x:t>
        </x:is>
      </x:c>
      <x:c r="E15" s="73" t="inlineStr">
        <x:is>
          <x:t xml:space="preserve">운명 빚으로 상점가 상승</x:t>
        </x:is>
      </x:c>
      <x:c r="F15" s="73" t="n">
        <x:v>58</x:v>
      </x:c>
      <x:c r="G15" s="73" t="inlineStr">
        <x:is>
          <x:t xml:space="preserve">스킬 한 번이 절실할 때</x:t>
        </x:is>
      </x:c>
      <x:c r="H15" s="73" t="inlineStr">
        <x:is>
          <x:t xml:space="preserve">상점 예약뿐 아니라 현재 전투 마나도 즉시 보강</x:t>
        </x:is>
      </x:c>
      <x:c r="I15" s="73" t="inlineStr">
        <x:is>
          <x:t xml:space="preserve">전투중 구현</x:t>
        </x:is>
      </x:c>
    </x:row>
    <x:row r="16" ht="24" customHeight="1">
      <x:c r="A16" s="73" t="n">
        <x:v>12</x:v>
      </x:c>
      <x:c r="B16" s="77" t="inlineStr">
        <x:is>
          <x:t xml:space="preserve">시간 정지</x:t>
        </x:is>
      </x:c>
      <x:c r="C16" s="73" t="inlineStr">
        <x:is>
          <x:t xml:space="preserve">군중 제어</x:t>
        </x:is>
      </x:c>
      <x:c r="D16" s="73" t="inlineStr">
        <x:is>
          <x:t xml:space="preserve">현재+이후 등장 몬스터 전체 4초 기절</x:t>
        </x:is>
      </x:c>
      <x:c r="E16" s="73" t="inlineStr">
        <x:is>
          <x:t xml:space="preserve">다음 라운드 적 수 +50%</x:t>
        </x:is>
      </x:c>
      <x:c r="F16" s="73" t="n">
        <x:v>64</x:v>
      </x:c>
      <x:c r="G16" s="73" t="inlineStr">
        <x:is>
          <x:t xml:space="preserve">보스/정예가 방어선에 접근했을 때</x:t>
        </x:is>
      </x:c>
      <x:c r="H16" s="73" t="inlineStr">
        <x:is>
          <x:t xml:space="preserve">이번 라운드 등장 전체 적용</x:t>
        </x:is>
      </x:c>
      <x:c r="I16" s="73" t="inlineStr">
        <x:is>
          <x:t xml:space="preserve">전투중 구현</x:t>
        </x:is>
      </x:c>
    </x:row>
    <x:row r="17" ht="24" customHeight="1">
      <x:c r="A17" s="73" t="n">
        <x:v>13</x:v>
      </x:c>
      <x:c r="B17" s="77" t="inlineStr">
        <x:is>
          <x:t xml:space="preserve">심판 번개</x:t>
        </x:is>
      </x:c>
      <x:c r="C17" s="73" t="inlineStr">
        <x:is>
          <x:t xml:space="preserve">광역 피해</x:t>
        </x:is>
      </x:c>
      <x:c r="D17" s="73" t="inlineStr">
        <x:is>
          <x:t xml:space="preserve">현재+이후 등장 몬스터 전체 최대 HP 25% 피해</x:t>
        </x:is>
      </x:c>
      <x:c r="E17" s="73" t="inlineStr">
        <x:is>
          <x:t xml:space="preserve">다음 라운드 적 수 +50%</x:t>
        </x:is>
      </x:c>
      <x:c r="F17" s="73" t="n">
        <x:v>68</x:v>
      </x:c>
      <x:c r="G17" s="73" t="inlineStr">
        <x:is>
          <x:t xml:space="preserve">웨이브 전체 체력이 높을 때</x:t>
        </x:is>
      </x:c>
      <x:c r="H17" s="73" t="inlineStr">
        <x:is>
          <x:t xml:space="preserve">이번 라운드 등장 전체 적용, 피해 숫자 피드백 중요</x:t>
        </x:is>
      </x:c>
      <x:c r="I17" s="73" t="inlineStr">
        <x:is>
          <x:t xml:space="preserve">전투중 구현</x:t>
        </x:is>
      </x:c>
    </x:row>
    <x:row r="18" ht="24" customHeight="1">
      <x:c r="A18" s="73" t="n">
        <x:v>14</x:v>
      </x:c>
      <x:c r="B18" s="77" t="inlineStr">
        <x:is>
          <x:t xml:space="preserve">마나 폭주</x:t>
        </x:is>
      </x:c>
      <x:c r="C18" s="73" t="inlineStr">
        <x:is>
          <x:t xml:space="preserve">스킬 폭발</x:t>
        </x:is>
      </x:c>
      <x:c r="D18" s="73" t="inlineStr">
        <x:is>
          <x:t xml:space="preserve">모든 유닛 마나 100% 회복</x:t>
        </x:is>
      </x:c>
      <x:c r="E18" s="73" t="inlineStr">
        <x:is>
          <x:t xml:space="preserve">HP -2</x:t>
        </x:is>
      </x:c>
      <x:c r="F18" s="73" t="n">
        <x:v>54</x:v>
      </x:c>
      <x:c r="G18" s="73" t="inlineStr">
        <x:is>
          <x:t xml:space="preserve">궁극기 연쇄가 필요할 때</x:t>
        </x:is>
      </x:c>
      <x:c r="H18" s="73" t="inlineStr">
        <x:is>
          <x:t xml:space="preserve">즉시 스킬 발동으로 위기 탈출</x:t>
        </x:is>
      </x:c>
      <x:c r="I18" s="73" t="inlineStr">
        <x:is>
          <x:t xml:space="preserve">전투중 구현</x:t>
        </x:is>
      </x:c>
    </x:row>
    <x:row r="19" ht="24" customHeight="1">
      <x:c r="A19" s="73" t="n">
        <x:v>15</x:v>
      </x:c>
      <x:c r="B19" s="77" t="inlineStr">
        <x:is>
          <x:t xml:space="preserve">응급 방벽</x:t>
        </x:is>
      </x:c>
      <x:c r="C19" s="73" t="inlineStr">
        <x:is>
          <x:t xml:space="preserve">안정화</x:t>
        </x:is>
      </x:c>
      <x:c r="D19" s="73" t="inlineStr">
        <x:is>
          <x:t xml:space="preserve">HP +4, 모든 유닛 전부 회복</x:t>
        </x:is>
      </x:c>
      <x:c r="E19" s="73" t="inlineStr">
        <x:is>
          <x:t xml:space="preserve">이번 포함 2라운드 소환비 +25%</x:t>
        </x:is>
      </x:c>
      <x:c r="F19" s="73" t="n">
        <x:v>62</x:v>
      </x:c>
      <x:c r="G19" s="73" t="inlineStr">
        <x:is>
          <x:t xml:space="preserve">라이프와 전열이 동시에 무너질 때</x:t>
        </x:is>
      </x:c>
      <x:c r="H19" s="73" t="inlineStr">
        <x:is>
          <x:t xml:space="preserve">즉시 회복 대신 다음 성장 속도 저하</x:t>
        </x:is>
      </x:c>
      <x:c r="I19" s="73" t="inlineStr">
        <x:is>
          <x:t xml:space="preserve">전투중 구현</x:t>
        </x:is>
      </x:c>
    </x:row>
    <x:row r="20" ht="24" customHeight="1">
      <x:c r="A20" s="73" t="n">
        <x:v>16</x:v>
      </x:c>
      <x:c r="B20" s="77" t="inlineStr">
        <x:is>
          <x:t xml:space="preserve">밀수 루트</x:t>
        </x:is>
      </x:c>
      <x:c r="C20" s="73" t="inlineStr">
        <x:is>
          <x:t xml:space="preserve">할인 재편집</x:t>
        </x:is>
      </x:c>
      <x:c r="D20" s="73" t="inlineStr">
        <x:is>
          <x:t xml:space="preserve">골드 +45, 전투 편집, 이번 포함 3라운드 소환비 -40%</x:t>
        </x:is>
      </x:c>
      <x:c r="E20" s="73" t="inlineStr">
        <x:is>
          <x:t xml:space="preserve">다음 라운드 적 수 +50%</x:t>
        </x:is>
      </x:c>
      <x:c r="F20" s="73" t="n">
        <x:v>62</x:v>
      </x:c>
      <x:c r="G20" s="73" t="inlineStr">
        <x:is>
          <x:t xml:space="preserve">이번 전투에서 대량 소환/합성이 필요할 때</x:t>
        </x:is>
      </x:c>
      <x:c r="H20" s="73" t="inlineStr">
        <x:is>
          <x:t xml:space="preserve">경제 준비 카드에서 현재 전투 역전 카드로 변경</x:t>
        </x:is>
      </x:c>
      <x:c r="I20" s="73" t="inlineStr">
        <x:is>
          <x:t xml:space="preserve">전투중 구현</x:t>
        </x:is>
      </x:c>
    </x:row>
    <x:row r="21" ht="36" customHeight="1">
      <x:c r="A21" s="73" t="n">
        <x:v>17</x:v>
      </x:c>
      <x:c r="B21" s="77" t="inlineStr">
        <x:is>
          <x:t xml:space="preserve">생명 주조</x:t>
        </x:is>
      </x:c>
      <x:c r="C21" s="73" t="inlineStr">
        <x:is>
          <x:t xml:space="preserve">최대 HP·회복</x:t>
        </x:is>
      </x:c>
      <x:c r="D21" s="73" t="inlineStr">
        <x:is>
          <x:t xml:space="preserve">최대 HP +3, 현재 HP +3, 모든 유닛 전부 회복</x:t>
        </x:is>
      </x:c>
      <x:c r="E21" s="73" t="inlineStr">
        <x:is>
          <x:t xml:space="preserve">현재 골드 절반 소모</x:t>
        </x:is>
      </x:c>
      <x:c r="F21" s="73" t="n">
        <x:v>70</x:v>
      </x:c>
      <x:c r="G21" s="73" t="inlineStr">
        <x:is>
          <x:t xml:space="preserve">장기 생존과 전열 회복이 동시에 필요할 때</x:t>
        </x:is>
      </x:c>
      <x:c r="H21" s="73" t="inlineStr">
        <x:is>
          <x:t xml:space="preserve">골드가 적을 때 대가가 약해지는지 실측 필요</x:t>
        </x:is>
      </x:c>
      <x:c r="I21" s="73" t="inlineStr">
        <x:is>
          <x:t xml:space="preserve">전투중 구현</x:t>
        </x:is>
      </x:c>
    </x:row>
    <x:row r="22" ht="24" customHeight="1">
      <x:c r="A22" s="73" t="n">
        <x:v>18</x:v>
      </x:c>
      <x:c r="B22" s="77" t="inlineStr">
        <x:is>
          <x:t xml:space="preserve">등급 조작</x:t>
        </x:is>
      </x:c>
      <x:c r="C22" s="73" t="inlineStr">
        <x:is>
          <x:t xml:space="preserve">고급 소환</x:t>
        </x:is>
      </x:c>
      <x:c r="D22" s="73" t="inlineStr">
        <x:is>
          <x:t xml:space="preserve">골드 +45, 전투 편집, 다음 4회 소환 최소 레어</x:t>
        </x:is>
      </x:c>
      <x:c r="E22" s="73" t="inlineStr">
        <x:is>
          <x:t xml:space="preserve">다음 라운드 적 수 +50%</x:t>
        </x:is>
      </x:c>
      <x:c r="F22" s="73" t="n">
        <x:v>68</x:v>
      </x:c>
      <x:c r="G22" s="73" t="inlineStr">
        <x:is>
          <x:t xml:space="preserve">고급 재료를 즉시 뽑아야 할 때</x:t>
        </x:is>
      </x:c>
      <x:c r="H22" s="73" t="inlineStr">
        <x:is>
          <x:t xml:space="preserve">전투 잠금 중에도 Rare+ 소환을 바로 실행 가능</x:t>
        </x:is>
      </x:c>
      <x:c r="I22" s="73" t="inlineStr">
        <x:is>
          <x:t xml:space="preserve">전투중 구현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6" customWidth="1"/>
    <x:col min="3" max="3" width="18" customWidth="1"/>
    <x:col min="4" max="4" width="28" customWidth="1"/>
    <x:col min="5" max="5" width="54" customWidth="1"/>
    <x:col min="6" max="6" width="50" customWidth="1"/>
  </x:cols>
  <x:sheetData>
    <x:row r="1">
      <x:c r="A1" s="136" t="inlineStr">
        <x:is>
          <x:t xml:space="preserve">검증 상태 2026-07-09</x:t>
        </x:is>
      </x:c>
    </x:row>
    <x:row r="2" ht="42" customHeight="1">
      <x:c r="A2" s="136" t="inlineStr">
        <x:is>
          <x:t xml:space="preserve">최신 코드 기준 C# 빌드/Unity 5판 실측/XLSX 동기화 결과.</x:t>
        </x:is>
      </x:c>
    </x:row>
    <x:row r="3">
      <x:c r="A3" s="136" t="inlineStr">
        <x:is>
          <x:t xml:space="preserve"/>
        </x:is>
      </x:c>
      <x:c r="B3" s="136" t="inlineStr">
        <x:is>
          <x:t xml:space="preserve"/>
        </x:is>
      </x:c>
      <x:c r="C3" s="136" t="inlineStr">
        <x:is>
          <x:t xml:space="preserve"/>
        </x:is>
      </x:c>
      <x:c r="D3" s="136" t="inlineStr">
        <x:is>
          <x:t xml:space="preserve"/>
        </x:is>
      </x:c>
      <x:c r="E3" s="136" t="inlineStr">
        <x:is>
          <x:t xml:space="preserve"/>
        </x:is>
      </x:c>
      <x:c r="F3" s="136" t="inlineStr">
        <x:is>
          <x:t xml:space="preserve"/>
        </x:is>
      </x:c>
    </x:row>
    <x:row r="4">
      <x:c r="A4" s="83" t="inlineStr">
        <x:is>
          <x:t xml:space="preserve">항목</x:t>
        </x:is>
      </x:c>
      <x:c r="B4" s="83" t="inlineStr">
        <x:is>
          <x:t xml:space="preserve">근거 파일</x:t>
        </x:is>
      </x:c>
      <x:c r="C4" s="83" t="inlineStr">
        <x:is>
          <x:t xml:space="preserve">상태</x:t>
        </x:is>
      </x:c>
      <x:c r="D4" s="83" t="inlineStr">
        <x:is>
          <x:t xml:space="preserve">핵심 수치</x:t>
        </x:is>
      </x:c>
      <x:c r="E4" s="83" t="inlineStr">
        <x:is>
          <x:t xml:space="preserve">해석</x:t>
        </x:is>
      </x:c>
      <x:c r="F4" s="83" t="inlineStr">
        <x:is>
          <x:t xml:space="preserve">다음 액션</x:t>
        </x:is>
      </x:c>
    </x:row>
    <x:row r="5">
      <x:c r="A5" s="136" t="inlineStr">
        <x:is>
          <x:t xml:space="preserve">C# 빌드</x:t>
        </x:is>
      </x:c>
      <x:c r="B5" s="136" t="inlineStr">
        <x:is>
          <x:t xml:space="preserve">Assembly-CSharp.csproj</x:t>
        </x:is>
      </x:c>
      <x:c r="C5" s="136" t="inlineStr">
        <x:is>
          <x:t xml:space="preserve">완료/통과</x:t>
        </x:is>
      </x:c>
      <x:c r="D5" s="136" t="inlineStr">
        <x:is>
          <x:t xml:space="preserve">경고 0 / 오류 0</x:t>
        </x:is>
      </x:c>
      <x:c r="E5" s="136" t="inlineStr">
        <x:is>
          <x:t xml:space="preserve">UI·스폰·시작골드·배치러너 변경 컴파일 OK</x:t>
        </x:is>
      </x:c>
      <x:c r="F5" s="136" t="inlineStr">
        <x:is>
          <x:t xml:space="preserve">없음</x:t>
        </x:is>
      </x:c>
    </x:row>
    <x:row r="6">
      <x:c r="A6" s="136" t="inlineStr">
        <x:is>
          <x:t xml:space="preserve">상단 합성 배너 UI</x:t>
        </x:is>
      </x:c>
      <x:c r="B6" s="136" t="inlineStr">
        <x:is>
          <x:t xml:space="preserve">SimpleGameHUD.cs / RuntimeSceneBootstrap.cs</x:t>
        </x:is>
      </x:c>
      <x:c r="C6" s="136" t="inlineStr">
        <x:is>
          <x:t xml:space="preserve">완료</x:t>
        </x:is>
      </x:c>
      <x:c r="D6" s="136" t="inlineStr">
        <x:is>
          <x:t xml:space="preserve">평시 숨김 / 합성 직후 2초 표시</x:t>
        </x:is>
      </x:c>
      <x:c r="E6" s="136" t="inlineStr">
        <x:is>
          <x:t xml:space="preserve">‘합성 대기 중’ 상시 노출 제거</x:t>
        </x:is>
      </x:c>
      <x:c r="F6" s="136" t="inlineStr">
        <x:is>
          <x:t xml:space="preserve">PlayMode에서 시각 확인</x:t>
        </x:is>
      </x:c>
    </x:row>
    <x:row r="7">
      <x:c r="A7" s="136" t="inlineStr">
        <x:is>
          <x:t xml:space="preserve">보스 목표 HUD</x:t>
        </x:is>
      </x:c>
      <x:c r="B7" s="136" t="inlineStr">
        <x:is>
          <x:t xml:space="preserve">SimpleGameHUD.cs</x:t>
        </x:is>
      </x:c>
      <x:c r="C7" s="136" t="inlineStr">
        <x:is>
          <x:t xml:space="preserve">완료</x:t>
        </x:is>
      </x:c>
      <x:c r="D7" s="136" t="inlineStr">
        <x:is>
          <x:t xml:space="preserve">보스 R10까지 nR | 초월 n/n</x:t>
        </x:is>
      </x:c>
      <x:c r="E7" s="136" t="inlineStr">
        <x:is>
          <x:t xml:space="preserve">하단 긴 문구 압축</x:t>
        </x:is>
      </x:c>
      <x:c r="F7" s="136" t="inlineStr">
        <x:is>
          <x:t xml:space="preserve">실기기 가독성 확인</x:t>
        </x:is>
      </x:c>
    </x:row>
    <x:row r="8">
      <x:c r="A8" s="136" t="inlineStr">
        <x:is>
          <x:t xml:space="preserve">몬스터 스폰 방향</x:t>
        </x:is>
      </x:c>
      <x:c r="B8" s="136" t="inlineStr">
        <x:is>
          <x:t xml:space="preserve">MonsterUnit.Initialize</x:t>
        </x:is>
      </x:c>
      <x:c r="C8" s="136" t="inlineStr">
        <x:is>
          <x:t xml:space="preserve">완료</x:t>
        </x:is>
      </x:c>
      <x:c r="D8" s="136" t="inlineStr">
        <x:is>
          <x:t xml:space="preserve">FaceTarget(laneGoalPosition)</x:t>
        </x:is>
      </x:c>
      <x:c r="E8" s="136" t="inlineStr">
        <x:is>
          <x:t xml:space="preserve">스폰 모션 첫 프레임부터 목표 방향으로 수평 정렬</x:t>
        </x:is>
      </x:c>
      <x:c r="F8" s="136" t="inlineStr">
        <x:is>
          <x:t xml:space="preserve">프리팹별 축 틀어짐 수동 확인</x:t>
        </x:is>
      </x:c>
    </x:row>
    <x:row r="9">
      <x:c r="A9" s="136" t="inlineStr">
        <x:is>
          <x:t xml:space="preserve">시작 3소환</x:t>
        </x:is>
      </x:c>
      <x:c r="B9" s="136" t="inlineStr">
        <x:is>
          <x:t xml:space="preserve">DefenseGameController.startGold</x:t>
        </x:is>
      </x:c>
      <x:c r="C9" s="136" t="inlineStr">
        <x:is>
          <x:t xml:space="preserve">완료</x:t>
        </x:is>
      </x:c>
      <x:c r="D9" s="136" t="inlineStr">
        <x:is>
          <x:t xml:space="preserve">36G / 10+11+12=33</x:t>
        </x:is>
      </x:c>
      <x:c r="E9" s="136" t="inlineStr">
        <x:is>
          <x:t xml:space="preserve">처음 3마리 소환 가능. R3/R4 보급은 6G/5G로 조정</x:t>
        </x:is>
      </x:c>
      <x:c r="F9" s="136" t="inlineStr">
        <x:is>
          <x:t xml:space="preserve">R1~R4 체감 확인</x:t>
        </x:is>
      </x:c>
    </x:row>
    <x:row r="10">
      <x:c r="A10" s="136" t="inlineStr">
        <x:is>
          <x:t xml:space="preserve">Unity 5판 실측</x:t>
        </x:is>
      </x:c>
      <x:c r="B10" s="136" t="inlineStr">
        <x:is>
          <x:t xml:space="preserve">DefenseGame_Playtest5_Human3.json</x:t>
        </x:is>
      </x:c>
      <x:c r="C10" s="136" t="inlineStr">
        <x:is>
          <x:t xml:space="preserve">완료/목표 미달</x:t>
        </x:is>
      </x:c>
      <x:c r="D10" s="136" t="inlineStr">
        <x:is>
          <x:t xml:space="preserve">R10 2/5 = 0.400</x:t>
        </x:is>
      </x:c>
      <x:c r="E10" s="136" t="inlineStr">
        <x:is>
          <x:t xml:space="preserve">목표 65~75%보다 낮음. R9/R10에서 3패</x:t>
        </x:is>
      </x:c>
      <x:c r="F10" s="136" t="inlineStr">
        <x:is>
          <x:t xml:space="preserve">R9~10 몬스터 압박 완화 또는 운명카드 선택/효율 보정</x:t>
        </x:is>
      </x:c>
    </x:row>
    <x:row r="11">
      <x:c r="A11" s="136" t="inlineStr">
        <x:is>
          <x:t xml:space="preserve">전략별 편차</x:t>
        </x:is>
      </x:c>
      <x:c r="B11" s="136" t="inlineStr">
        <x:is>
          <x:t xml:space="preserve">results</x:t>
        </x:is>
      </x:c>
      <x:c r="C11" s="136" t="inlineStr">
        <x:is>
          <x:t xml:space="preserve">조정 필요</x:t>
        </x:is>
      </x:c>
      <x:c r="D11" s="136" t="inlineStr">
        <x:is>
          <x:t xml:space="preserve">summon-heavy 1/2, balanced 1/2, shop-save 0/1</x:t>
        </x:is>
      </x:c>
      <x:c r="E11" s="136" t="inlineStr">
        <x:is>
          <x:t xml:space="preserve">shop-save가 R9에서 실패. 전투상점 구매 0회</x:t>
        </x:is>
      </x:c>
      <x:c r="F11" s="136" t="inlineStr">
        <x:is>
          <x:t xml:space="preserve">상점 AI/상품 매력도 또는 초반 안정성 보강</x:t>
        </x:is>
      </x:c>
    </x:row>
    <x:row r="12">
      <x:c r="A12" s="136" t="inlineStr">
        <x:is>
          <x:t xml:space="preserve">배치 속도</x:t>
        </x:is>
      </x:c>
      <x:c r="B12" s="136" t="inlineStr">
        <x:is>
          <x:t xml:space="preserve">DefenseGameBatchPlaytest.cs</x:t>
        </x:is>
      </x:c>
      <x:c r="C12" s="136" t="inlineStr">
        <x:is>
          <x:t xml:space="preserve">완료</x:t>
        </x:is>
      </x:c>
      <x:c r="D12" s="136" t="inlineStr">
        <x:is>
          <x:t xml:space="preserve">BatchTimeScale 96 / Tick 유지</x:t>
        </x:is>
      </x:c>
      <x:c r="E12" s="136" t="inlineStr">
        <x:is>
          <x:t xml:space="preserve">RuntimeEffectUtility가 timeScale을 되돌려도 배치에서 복원</x:t>
        </x:is>
      </x:c>
      <x:c r="F12" s="136" t="inlineStr">
        <x:is>
          <x:t xml:space="preserve">다음 실측도 동일 조건 사용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8" customWidth="1"/>
    <x:col min="3" max="3" width="14" customWidth="1"/>
    <x:col min="4" max="4" width="42" customWidth="1"/>
    <x:col min="5" max="5" width="44" customWidth="1"/>
    <x:col min="6" max="6" width="34" customWidth="1"/>
  </x:cols>
  <x:sheetData>
    <x:row r="1">
      <x:c r="A1" s="71" t="inlineStr">
        <x:is>
          <x:t xml:space="preserve">9점 목표 후속 작업</x:t>
        </x:is>
      </x:c>
      <x:c r="B1" s="80" t="n"/>
      <x:c r="C1" s="80" t="n"/>
      <x:c r="D1" s="80" t="n"/>
      <x:c r="E1" s="80" t="n"/>
      <x:c r="F1" s="81" t="n"/>
    </x:row>
    <x:row r="2" ht="42" customHeight="1">
      <x:c r="A2" s="73" t="inlineStr">
        <x:is>
          <x:t xml:space="preserve">최신 5판 실측 반영. 전체 난이도는 목표보다 조금 쉬우나 shop-save 편차가 남아 있음.</x:t>
        </x:is>
      </x:c>
      <x:c r="B2" s="80" t="n"/>
      <x:c r="C2" s="80" t="n"/>
      <x:c r="D2" s="80" t="n"/>
      <x:c r="E2" s="80" t="n"/>
      <x:c r="F2" s="81" t="n"/>
    </x:row>
    <x:row r="3">
      <x:c r="A3" s="73" t="n"/>
      <x:c r="B3" s="73" t="n"/>
      <x:c r="C3" s="73" t="n"/>
      <x:c r="D3" s="73" t="n"/>
      <x:c r="E3" s="73" t="n"/>
      <x:c r="F3" s="73" t="n"/>
    </x:row>
    <x:row r="4">
      <x:c r="A4" s="74" t="inlineStr">
        <x:is>
          <x:t xml:space="preserve">우선순위</x:t>
        </x:is>
      </x:c>
      <x:c r="B4" s="74" t="inlineStr">
        <x:is>
          <x:t xml:space="preserve">작업</x:t>
        </x:is>
      </x:c>
      <x:c r="C4" s="74" t="inlineStr">
        <x:is>
          <x:t xml:space="preserve">상태</x:t>
        </x:is>
      </x:c>
      <x:c r="D4" s="74" t="inlineStr">
        <x:is>
          <x:t xml:space="preserve">근거/문제</x:t>
        </x:is>
      </x:c>
      <x:c r="E4" s="74" t="inlineStr">
        <x:is>
          <x:t xml:space="preserve">권장 처리</x:t>
        </x:is>
      </x:c>
      <x:c r="F4" s="74" t="inlineStr">
        <x:is>
          <x:t xml:space="preserve">완료 기준</x:t>
        </x:is>
      </x:c>
    </x:row>
    <x:row r="5">
      <x:c r="A5" s="73" t="n">
        <x:v>1</x:v>
      </x:c>
      <x:c r="B5" s="73" t="inlineStr">
        <x:is>
          <x:t xml:space="preserve">운명카드 18장 밸런스 1차</x:t>
        </x:is>
      </x:c>
      <x:c r="C5" s="73" t="inlineStr">
        <x:is>
          <x:t xml:space="preserve">진행중</x:t>
        </x:is>
      </x:c>
      <x:c r="D5" s="73" t="inlineStr">
        <x:is>
          <x:t xml:space="preserve">5판 모두 운명카드 사용(5/5)</x:t>
        </x:is>
      </x:c>
      <x:c r="E5" s="73" t="inlineStr">
        <x:is>
          <x:t xml:space="preserve">카드별 선택률/승률 로그 추가</x:t>
        </x:is>
      </x:c>
      <x:c r="F5" s="73" t="inlineStr">
        <x:is>
          <x:t xml:space="preserve">강한 카드와 함정 카드 체감 분리</x:t>
        </x:is>
      </x:c>
    </x:row>
    <x:row r="6">
      <x:c r="A6" s="73" t="n">
        <x:v>2</x:v>
      </x:c>
      <x:c r="B6" s="73" t="inlineStr">
        <x:is>
          <x:t xml:space="preserve">난이도 소폭 상향 검토</x:t>
        </x:is>
      </x:c>
      <x:c r="C6" s="79" t="inlineStr">
        <x:is>
          <x:t xml:space="preserve">주의</x:t>
        </x:is>
      </x:c>
      <x:c r="D6" s="73" t="inlineStr">
        <x:is>
          <x:t xml:space="preserve">R10 4/5=80%, 목표 65~75%보다 높음</x:t>
        </x:is>
      </x:c>
      <x:c r="E6" s="73" t="inlineStr">
        <x:is>
          <x:t xml:space="preserve">샘플 5판 추가 후 확정. 바로 올리면 shop-save가 더 죽을 수 있음</x:t>
        </x:is>
      </x:c>
      <x:c r="F6" s="73" t="inlineStr">
        <x:is>
          <x:t xml:space="preserve">반복 측정 평균 65~75%</x:t>
        </x:is>
      </x:c>
    </x:row>
    <x:row r="7">
      <x:c r="A7" s="73" t="n">
        <x:v>3</x:v>
      </x:c>
      <x:c r="B7" s="73" t="inlineStr">
        <x:is>
          <x:t xml:space="preserve">shop-save 전략 보강</x:t>
        </x:is>
      </x:c>
      <x:c r="C7" s="79" t="inlineStr">
        <x:is>
          <x:t xml:space="preserve">필요</x:t>
        </x:is>
      </x:c>
      <x:c r="D7" s="73" t="inlineStr">
        <x:is>
          <x:t xml:space="preserve">shop-save 0/1, R5 패배</x:t>
        </x:is>
      </x:c>
      <x:c r="E7" s="73" t="inlineStr">
        <x:is>
          <x:t xml:space="preserve">상점 저장 전략용 초반 방어/할인/보상 조절</x:t>
        </x:is>
      </x:c>
      <x:c r="F7" s="73" t="inlineStr">
        <x:is>
          <x:t xml:space="preserve">상점 전략도 최소 R8~10 도달</x:t>
        </x:is>
      </x:c>
    </x:row>
    <x:row r="8">
      <x:c r="A8" s="73" t="n">
        <x:v>4</x:v>
      </x:c>
      <x:c r="B8" s="73" t="inlineStr">
        <x:is>
          <x:t xml:space="preserve">운명카드 UI 아트</x:t>
        </x:is>
      </x:c>
      <x:c r="C8" s="73" t="inlineStr">
        <x:is>
          <x:t xml:space="preserve">남음</x:t>
        </x:is>
      </x:c>
      <x:c r="D8" s="73" t="inlineStr">
        <x:is>
          <x:t xml:space="preserve">현재 텍스트+색상 중심</x:t>
        </x:is>
      </x:c>
      <x:c r="E8" s="73" t="inlineStr">
        <x:is>
          <x:t xml:space="preserve">카드 프레임/아이콘/위험도 마크 추가</x:t>
        </x:is>
      </x:c>
      <x:c r="F8" s="73" t="inlineStr">
        <x:is>
          <x:t xml:space="preserve">3장 제시가 카드 선택처럼 즉시 인지됨</x:t>
        </x:is>
      </x:c>
    </x:row>
    <x:row r="9">
      <x:c r="A9" s="73" t="n">
        <x:v>5</x:v>
      </x:c>
      <x:c r="B9" s="73" t="inlineStr">
        <x:is>
          <x:t xml:space="preserve">보스 스킬 체감 수동 확인</x:t>
        </x:is>
      </x:c>
      <x:c r="C9" s="73" t="inlineStr">
        <x:is>
          <x:t xml:space="preserve">남음</x:t>
        </x:is>
      </x:c>
      <x:c r="D9" s="73" t="inlineStr">
        <x:is>
          <x:t xml:space="preserve">스모크는 pass지만 체감은 플레이 확인 필요</x:t>
        </x:is>
      </x:c>
      <x:c r="E9" s="73" t="inlineStr">
        <x:is>
          <x:t xml:space="preserve">R10 대지발동 SkillHit 피해/카메라/텍스트 확인</x:t>
        </x:is>
      </x:c>
      <x:c r="F9" s="73" t="inlineStr">
        <x:is>
          <x:t xml:space="preserve">스킬 발동과 피해가 명확히 보임</x:t>
        </x:is>
      </x:c>
    </x:row>
    <x:row r="10">
      <x:c r="A10" s="73" t="n">
        <x:v>6</x:v>
      </x:c>
      <x:c r="B10" s="73" t="inlineStr">
        <x:is>
          <x:t xml:space="preserve">XLSX 정기 동기화</x:t>
        </x:is>
      </x:c>
      <x:c r="C10" s="78" t="inlineStr">
        <x:is>
          <x:t xml:space="preserve">완료</x:t>
        </x:is>
      </x:c>
      <x:c r="D10" s="73" t="inlineStr">
        <x:is>
          <x:t xml:space="preserve">최신 결과 반영 완료</x:t>
        </x:is>
      </x:c>
      <x:c r="E10" s="73" t="inlineStr">
        <x:is>
          <x:t xml:space="preserve">수치 변경 시 변경이력 유지</x:t>
        </x:is>
      </x:c>
      <x:c r="F10" s="73" t="inlineStr">
        <x:is>
          <x:t xml:space="preserve">문서와 코드 불일치 없음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5" customWidth="1"/>
    <x:col min="3" max="3" width="58" customWidth="1"/>
    <x:col min="4" max="4" width="38" customWidth="1"/>
    <x:col min="5" max="5" width="12" customWidth="1"/>
    <x:col min="6" max="6" width="50" customWidth="1"/>
  </x:cols>
  <x:sheetData>
    <x:row r="1" ht="28" customHeight="1">
      <x:c r="A1" s="89" t="inlineStr">
        <x:is>
          <x:t xml:space="preserve">최신 수정 및 밸런스 동기화 (2026-07-11)</x:t>
        </x:is>
      </x:c>
    </x:row>
    <x:row r="2" ht="38" customHeight="1">
      <x:c r="A2" s="90" t="inlineStr">
        <x:is>
          <x:t xml:space="preserve">코드 기준 최신 수치 반영. Unity 5판 실측은 현 터미널에서 신규 실행되지 않아 기존 10판 결과를 기준선으로 별도 기록.</x:t>
        </x:is>
      </x:c>
    </x:row>
    <x:row r="4">
      <x:c r="A4" s="91" t="inlineStr">
        <x:is>
          <x:t xml:space="preserve">분류</x:t>
        </x:is>
      </x:c>
      <x:c r="B4" s="91" t="inlineStr">
        <x:is>
          <x:t xml:space="preserve">항목</x:t>
        </x:is>
      </x:c>
      <x:c r="C4" s="91" t="inlineStr">
        <x:is>
          <x:t xml:space="preserve">최신 설정</x:t>
        </x:is>
      </x:c>
      <x:c r="D4" s="91" t="inlineStr">
        <x:is>
          <x:t xml:space="preserve">적용 파일</x:t>
        </x:is>
      </x:c>
      <x:c r="E4" s="91" t="inlineStr">
        <x:is>
          <x:t xml:space="preserve">상태</x:t>
        </x:is>
      </x:c>
      <x:c r="F4" s="91" t="inlineStr">
        <x:is>
          <x:t xml:space="preserve">비고</x:t>
        </x:is>
      </x:c>
    </x:row>
    <x:row r="5">
      <x:c r="A5" s="92" t="inlineStr">
        <x:is>
          <x:t xml:space="preserve">초반 준비</x:t>
        </x:is>
      </x:c>
      <x:c r="B5" s="92" t="inlineStr">
        <x:is>
          <x:t xml:space="preserve">초반 소환 상한</x:t>
        </x:is>
      </x:c>
      <x:c r="C5" s="92" t="inlineStr">
        <x:is>
          <x:t xml:space="preserve">R1 시작 전 소환 최대 3마리</x:t>
        </x:is>
      </x:c>
      <x:c r="D5" s="92" t="inlineStr">
        <x:is>
          <x:t xml:space="preserve">DefenseGameController.cs</x:t>
        </x:is>
      </x:c>
      <x:c r="E5" s="92" t="inlineStr">
        <x:is>
          <x:t xml:space="preserve">적용</x:t>
        </x:is>
      </x:c>
      <x:c r="F5" s="92" t="inlineStr">
        <x:is>
          <x:t xml:space="preserve">첫 라운드 시작 후에는 상한 해제</x:t>
        </x:is>
      </x:c>
    </x:row>
    <x:row r="6">
      <x:c r="A6" s="93" t="inlineStr">
        <x:is>
          <x:t xml:space="preserve">상점</x:t>
        </x:is>
      </x:c>
      <x:c r="B6" s="93" t="inlineStr">
        <x:is>
          <x:t xml:space="preserve">소형 전투상점 가격</x:t>
        </x:is>
      </x:c>
      <x:c r="C6" s="93" t="inlineStr">
        <x:is>
          <x:t xml:space="preserve">R1-4: 소환가 x 1.25 / x 1.65, R5-10: x 1.45 / x 1.95, R11+: x 1.65 / x 2.25</x:t>
        </x:is>
      </x:c>
      <x:c r="D6" s="93" t="inlineStr">
        <x:is>
          <x:t xml:space="preserve">RunShopSystem.cs</x:t>
        </x:is>
      </x:c>
      <x:c r="E6" s="93" t="inlineStr">
        <x:is>
          <x:t xml:space="preserve">적용</x:t>
        </x:is>
      </x:c>
      <x:c r="F6" s="93" t="inlineStr">
        <x:is>
          <x:t xml:space="preserve">낮은 가격 1-2개는 현금으로 구매 가능</x:t>
        </x:is>
      </x:c>
    </x:row>
    <x:row r="7">
      <x:c r="A7" s="92" t="inlineStr">
        <x:is>
          <x:t xml:space="preserve">히어로</x:t>
        </x:is>
      </x:c>
      <x:c r="B7" s="92" t="inlineStr">
        <x:is>
          <x:t xml:space="preserve">hero_02 이중 회복</x:t>
        </x:is>
      </x:c>
      <x:c r="C7" s="92" t="inlineStr">
        <x:is>
          <x:t xml:space="preserve">마나 완전 충전 시 피가 부족한 아군이 있을 때만 발동</x:t>
        </x:is>
      </x:c>
      <x:c r="D7" s="92" t="inlineStr">
        <x:is>
          <x:t xml:space="preserve">DefenderUnit.cs / CharacterCombatTuningConfig.cs</x:t>
        </x:is>
      </x:c>
      <x:c r="E7" s="92" t="inlineStr">
        <x:is>
          <x:t xml:space="preserve">적용</x:t>
        </x:is>
      </x:c>
      <x:c r="F7" s="92" t="inlineStr">
        <x:is>
          <x:t xml:space="preserve">모든 아군 HP 완전 시 스킬 실행 안 함</x:t>
        </x:is>
      </x:c>
    </x:row>
    <x:row r="8">
      <x:c r="A8" s="93" t="inlineStr">
        <x:is>
          <x:t xml:space="preserve">전투 효과</x:t>
        </x:is>
      </x:c>
      <x:c r="B8" s="93" t="inlineStr">
        <x:is>
          <x:t xml:space="preserve">프로젝타일 방향</x:t>
        </x:is>
      </x:c>
      <x:c r="C8" s="93" t="inlineStr">
        <x:is>
          <x:t xml:space="preserve">대상 방향으로 회전 후 발사 / Hit 효과도 동일 방향</x:t>
        </x:is>
      </x:c>
      <x:c r="D8" s="93" t="inlineStr">
        <x:is>
          <x:t xml:space="preserve">Projectile.cs / DefenderUnit.cs / MonsterUnit.cs</x:t>
        </x:is>
      </x:c>
      <x:c r="E8" s="93" t="inlineStr">
        <x:is>
          <x:t xml:space="preserve">적용</x:t>
        </x:is>
      </x:c>
      <x:c r="F8" s="93" t="inlineStr">
        <x:is>
          <x:t xml:space="preserve">수평 방향 기준으로 Y 축 누락</x:t>
        </x:is>
      </x:c>
    </x:row>
    <x:row r="9">
      <x:c r="A9" s="92" t="inlineStr">
        <x:is>
          <x:t xml:space="preserve">전투 효과</x:t>
        </x:is>
      </x:c>
      <x:c r="B9" s="92" t="inlineStr">
        <x:is>
          <x:t xml:space="preserve">몬스터 Spawn 방향</x:t>
        </x:is>
      </x:c>
      <x:c r="C9" s="92" t="inlineStr">
        <x:is>
          <x:t xml:space="preserve">목표 진입 방향을 보는 초기 회전 적용</x:t>
        </x:is>
      </x:c>
      <x:c r="D9" s="92" t="inlineStr">
        <x:is>
          <x:t xml:space="preserve">RoundManager.cs</x:t>
        </x:is>
      </x:c>
      <x:c r="E9" s="92" t="inlineStr">
        <x:is>
          <x:t xml:space="preserve">적용</x:t>
        </x:is>
      </x:c>
      <x:c r="F9" s="92" t="inlineStr">
        <x:is>
          <x:t xml:space="preserve">땅에 쳐박히는 모션 완화</x:t>
        </x:is>
      </x:c>
    </x:row>
    <x:row r="10">
      <x:c r="A10" s="93" t="inlineStr">
        <x:is>
          <x:t xml:space="preserve">UI</x:t>
        </x:is>
      </x:c>
      <x:c r="B10" s="93" t="inlineStr">
        <x:is>
          <x:t xml:space="preserve">유닛 초상화</x:t>
        </x:is>
      </x:c>
      <x:c r="C10" s="93" t="inlineStr">
        <x:is>
          <x:t xml:space="preserve">로딩 / 라운드 종료 후 포트레잇 Image 재활성화</x:t>
        </x:is>
      </x:c>
      <x:c r="D10" s="93" t="inlineStr">
        <x:is>
          <x:t xml:space="preserve">MetaFlowUI.cs</x:t>
        </x:is>
      </x:c>
      <x:c r="E10" s="93" t="inlineStr">
        <x:is>
          <x:t xml:space="preserve">적용</x:t>
        </x:is>
      </x:c>
      <x:c r="F10" s="93" t="inlineStr">
        <x:is>
          <x:t xml:space="preserve">스프라이트 없을 때 대체 아이콘 표시</x:t>
        </x:is>
      </x:c>
    </x:row>
    <x:row r="11">
      <x:c r="A11" s="92" t="inlineStr">
        <x:is>
          <x:t xml:space="preserve">UI</x:t>
        </x:is>
      </x:c>
      <x:c r="B11" s="92" t="inlineStr">
        <x:is>
          <x:t xml:space="preserve">운명카드 선택</x:t>
        </x:is>
      </x:c>
      <x:c r="C11" s="92" t="inlineStr">
        <x:is>
          <x:t xml:space="preserve">중앙 3개 카드 + 어두운 배경 + 타임스케일 0.1</x:t>
        </x:is>
      </x:c>
      <x:c r="D11" s="92" t="inlineStr">
        <x:is>
          <x:t xml:space="preserve">RuntimeSceneBootstrap.cs / SimpleGameHUD.cs</x:t>
        </x:is>
      </x:c>
      <x:c r="E11" s="92" t="inlineStr">
        <x:is>
          <x:t xml:space="preserve">적용</x:t>
        </x:is>
      </x:c>
      <x:c r="F11" s="92" t="inlineStr">
        <x:is>
          <x:t xml:space="preserve">선택 전까지 느리게 흐름</x:t>
        </x:is>
      </x:c>
    </x:row>
    <x:row r="12">
      <x:c r="A12" s="93" t="inlineStr">
        <x:is>
          <x:t xml:space="preserve">UI</x:t>
        </x:is>
      </x:c>
      <x:c r="B12" s="93" t="inlineStr">
        <x:is>
          <x:t xml:space="preserve">승리 후 출현 순서</x:t>
        </x:is>
      </x:c>
      <x:c r="C12" s="93" t="inlineStr">
        <x:is>
          <x:t xml:space="preserve">승리 결과 UI 종료 후 소형상점 / 증강체</x:t>
        </x:is>
      </x:c>
      <x:c r="D12" s="93" t="inlineStr">
        <x:is>
          <x:t xml:space="preserve">DefenseGameController.cs / MetaFlowUI.cs</x:t>
        </x:is>
      </x:c>
      <x:c r="E12" s="93" t="inlineStr">
        <x:is>
          <x:t xml:space="preserve">적용</x:t>
        </x:is>
      </x:c>
      <x:c r="F12" s="93" t="inlineStr">
        <x:is>
          <x:t xml:space="preserve">pendingPostRoundChoiceRound 호출 흐름으로 순서 고정</x:t>
        </x:is>
      </x:c>
    </x:row>
    <x:row r="13">
      <x:c r="A13" s="92" t="inlineStr">
        <x:is>
          <x:t xml:space="preserve">밸런스</x:t>
        </x:is>
      </x:c>
      <x:c r="B13" s="92" t="inlineStr">
        <x:is>
          <x:t xml:space="preserve">dice_shield_rig (hero_05)</x:t>
        </x:is>
      </x:c>
      <x:c r="C13" s="92" t="inlineStr">
        <x:is>
          <x:t xml:space="preserve">HP 108 / 공격력 11 / 공격속도 1.0</x:t>
        </x:is>
      </x:c>
      <x:c r="D13" s="92" t="inlineStr">
        <x:is>
          <x:t xml:space="preserve">CharacterDatabase.cs</x:t>
        </x:is>
      </x:c>
      <x:c r="E13" s="92" t="inlineStr">
        <x:is>
          <x:t xml:space="preserve">적용</x:t>
        </x:is>
      </x:c>
      <x:c r="F13" s="92" t="inlineStr">
        <x:is>
          <x:t xml:space="preserve">일반 전열 유닛 단독 탱킹 완화</x:t>
        </x:is>
      </x:c>
    </x:row>
    <x:row r="14">
      <x:c r="A14" s="93" t="inlineStr">
        <x:is>
          <x:t xml:space="preserve">합성</x:t>
        </x:is>
      </x:c>
      <x:c r="B14" s="93" t="inlineStr">
        <x:is>
          <x:t xml:space="preserve">일반 합성 스탯 계승</x:t>
        </x:is>
      </x:c>
      <x:c r="C14" s="93" t="inlineStr">
        <x:is>
          <x:t xml:space="preserve">공격 98% / 최대 HP 94%</x:t>
        </x:is>
      </x:c>
      <x:c r="D14" s="93" t="inlineStr">
        <x:is>
          <x:t xml:space="preserve">DefenseBoardManager.cs</x:t>
        </x:is>
      </x:c>
      <x:c r="E14" s="93" t="inlineStr">
        <x:is>
          <x:t xml:space="preserve">적용</x:t>
        </x:is>
      </x:c>
      <x:c r="F14" s="93" t="inlineStr">
        <x:is>
          <x:t xml:space="preserve">소재 3개 합성 전력에 가까운 계승</x:t>
        </x:is>
      </x:c>
    </x:row>
    <x:row r="15">
      <x:c r="A15" s="92" t="inlineStr">
        <x:is>
          <x:t xml:space="preserve">초월</x:t>
        </x:is>
      </x:c>
      <x:c r="B15" s="92" t="inlineStr">
        <x:is>
          <x:t xml:space="preserve">hero_55~57 조합 완화</x:t>
        </x:is>
      </x:c>
      <x:c r="C15" s="92" t="inlineStr">
        <x:is>
          <x:t xml:space="preserve">필수 재료 3개 -&gt; 2개 (hero_31+hero_05 / hero_32+hero_13 / hero_33+hero_12)</x:t>
        </x:is>
      </x:c>
      <x:c r="D15" s="92" t="inlineStr">
        <x:is>
          <x:t xml:space="preserve">DefenseBoardManager.cs</x:t>
        </x:is>
      </x:c>
      <x:c r="E15" s="92" t="inlineStr">
        <x:is>
          <x:t xml:space="preserve">적용</x:t>
        </x:is>
      </x:c>
      <x:c r="F15" s="92" t="inlineStr">
        <x:is>
          <x:t xml:space="preserve">R18 전후 조합 가능성 상향</x:t>
        </x:is>
      </x:c>
    </x:row>
    <x:row r="16">
      <x:c r="A16" s="93" t="inlineStr">
        <x:is>
          <x:t xml:space="preserve">상태</x:t>
        </x:is>
      </x:c>
      <x:c r="B16" s="93" t="inlineStr">
        <x:is>
          <x:t xml:space="preserve">보스 스턴 피드백</x:t>
        </x:is>
      </x:c>
      <x:c r="C16" s="93" t="inlineStr">
        <x:is>
          <x:t xml:space="preserve">머리 위 기절 텍스트 + 바닥 파동 효과</x:t>
        </x:is>
      </x:c>
      <x:c r="D16" s="93" t="inlineStr">
        <x:is>
          <x:t xml:space="preserve">MonsterUnit.cs</x:t>
        </x:is>
      </x:c>
      <x:c r="E16" s="93" t="inlineStr">
        <x:is>
          <x:t xml:space="preserve">적용</x:t>
        </x:is>
      </x:c>
      <x:c r="F16" s="93" t="inlineStr">
        <x:is>
          <x:t xml:space="preserve">스턴 대상을 즉시 식별</x:t>
        </x:is>
      </x:c>
    </x:row>
    <x:row r="17">
      <x:c r="A17" s="94" t="n"/>
      <x:c r="B17" s="94" t="n"/>
      <x:c r="C17" s="94" t="n"/>
      <x:c r="D17" s="94" t="n"/>
      <x:c r="E17" s="94" t="n"/>
      <x:c r="F17" s="94" t="n"/>
    </x:row>
    <x:row r="18">
      <x:c r="A18" s="94" t="n"/>
      <x:c r="B18" s="94" t="n"/>
      <x:c r="C18" s="94" t="n"/>
      <x:c r="D18" s="94" t="n"/>
      <x:c r="E18" s="94" t="n"/>
      <x:c r="F18" s="94" t="n"/>
    </x:row>
    <x:row r="19">
      <x:c r="A19" s="95" t="inlineStr">
        <x:is>
          <x:t xml:space="preserve">실측 / 빌드 상태</x:t>
        </x:is>
      </x:c>
      <x:c r="B19" s="99" t="n"/>
      <x:c r="C19" s="99" t="n"/>
      <x:c r="D19" s="99" t="n"/>
      <x:c r="E19" s="99" t="n"/>
      <x:c r="F19" s="100" t="n"/>
    </x:row>
    <x:row r="20">
      <x:c r="A20" s="96" t="inlineStr">
        <x:is>
          <x:t xml:space="preserve">항목</x:t>
        </x:is>
      </x:c>
      <x:c r="B20" s="96" t="inlineStr">
        <x:is>
          <x:t xml:space="preserve">결과</x:t>
        </x:is>
      </x:c>
      <x:c r="C20" s="96" t="inlineStr">
        <x:is>
          <x:t xml:space="preserve">소스</x:t>
        </x:is>
      </x:c>
      <x:c r="D20" s="94" t="n"/>
      <x:c r="E20" s="94" t="n"/>
      <x:c r="F20" s="94" t="n"/>
    </x:row>
    <x:row r="21">
      <x:c r="A21" s="97" t="inlineStr">
        <x:is>
          <x:t xml:space="preserve">기존 배치 플레이테스트</x:t>
        </x:is>
      </x:c>
      <x:c r="B21" s="97" t="inlineStr">
        <x:is>
          <x:t xml:space="preserve">10판 중 R10 클리어 9판 (90%), 보스 HP 잔여 0-11%</x:t>
        </x:is>
      </x:c>
      <x:c r="C21" s="97" t="inlineStr">
        <x:is>
          <x:t xml:space="preserve">BatchPlaytestResults/DefenseGame_Playtest10.json</x:t>
        </x:is>
      </x:c>
      <x:c r="D21" s="94" t="n"/>
      <x:c r="E21" s="94" t="n"/>
      <x:c r="F21" s="94" t="n"/>
    </x:row>
    <x:row r="22">
      <x:c r="A22" s="98" t="inlineStr">
        <x:is>
          <x:t xml:space="preserve">현재 코드 빌드</x:t>
        </x:is>
      </x:c>
      <x:c r="B22" s="98" t="inlineStr">
        <x:is>
          <x:t xml:space="preserve">Assembly-CSharp.csproj --no-restore: 경고 0 / 오류 0</x:t>
        </x:is>
      </x:c>
      <x:c r="C22" s="98" t="inlineStr">
        <x:is>
          <x:t xml:space="preserve">Unity C# 코드 검증</x:t>
        </x:is>
      </x:c>
      <x:c r="D22" s="94" t="n"/>
      <x:c r="E22" s="94" t="n"/>
      <x:c r="F22" s="94" t="n"/>
    </x:row>
    <x:row r="23">
      <x:c r="A23" s="97" t="inlineStr">
        <x:is>
          <x:t xml:space="preserve">Unity 5판 신규 실측</x:t>
        </x:is>
      </x:c>
      <x:c r="B23" s="97" t="inlineStr">
        <x:is>
          <x:t xml:space="preserve">현 터미널 실행 분은 아니며, 실기기 Play Mode 재측 필요</x:t>
        </x:is>
      </x:c>
      <x:c r="C23" s="97" t="inlineStr">
        <x:is>
          <x:t xml:space="preserve">후속 검증 항목</x:t>
        </x:is>
      </x:c>
      <x:c r="D23" s="94" t="n"/>
      <x:c r="E23" s="94" t="n"/>
      <x:c r="F23" s="94" t="n"/>
    </x:row>
    <x:row r="25" ht="26" customHeight="1">
      <x:c r="A25" s="89" t="inlineStr">
        <x:is>
          <x:t xml:space="preserve">9점 보완 조정 (2026-07-11)</x:t>
        </x:is>
      </x:c>
    </x:row>
    <x:row r="26">
      <x:c r="A26" s="91" t="inlineStr">
        <x:is>
          <x:t xml:space="preserve">분류</x:t>
        </x:is>
      </x:c>
      <x:c r="B26" s="91" t="inlineStr">
        <x:is>
          <x:t xml:space="preserve">항목</x:t>
        </x:is>
      </x:c>
      <x:c r="C26" s="91" t="inlineStr">
        <x:is>
          <x:t xml:space="preserve">최신 설정</x:t>
        </x:is>
      </x:c>
      <x:c r="D26" s="91" t="inlineStr">
        <x:is>
          <x:t xml:space="preserve">코드 근거</x:t>
        </x:is>
      </x:c>
      <x:c r="E26" s="91" t="inlineStr">
        <x:is>
          <x:t xml:space="preserve">상태</x:t>
        </x:is>
      </x:c>
      <x:c r="F26" s="91" t="inlineStr">
        <x:is>
          <x:t xml:space="preserve">메모</x:t>
        </x:is>
      </x:c>
    </x:row>
    <x:row r="27" ht="44" customHeight="1">
      <x:c r="A27" s="92" t="inlineStr">
        <x:is>
          <x:t xml:space="preserve">운명카드</x:t>
        </x:is>
      </x:c>
      <x:c r="B27" s="92" t="inlineStr">
        <x:is>
          <x:t xml:space="preserve">3장 선택 구성</x:t>
        </x:is>
      </x:c>
      <x:c r="C27" s="92" t="inlineStr">
        <x:is>
          <x:t xml:space="preserve">생존 1 + 전투 1 + 성장/위험 1 보장 후 위치 셔플</x:t>
        </x:is>
      </x:c>
      <x:c r="D27" s="92" t="inlineStr">
        <x:is>
          <x:t xml:space="preserve">DefenseGameController.cs</x:t>
        </x:is>
      </x:c>
      <x:c r="E27" s="92" t="inlineStr">
        <x:is>
          <x:t xml:space="preserve">적용</x:t>
        </x:is>
      </x:c>
      <x:c r="F27" s="92" t="inlineStr">
        <x:is>
          <x:t xml:space="preserve">18장 완전 랜덤의 동일 역할 몰림 제거</x:t>
        </x:is>
      </x:c>
    </x:row>
    <x:row r="28" ht="44" customHeight="1">
      <x:c r="A28" s="93" t="inlineStr">
        <x:is>
          <x:t xml:space="preserve">운명카드</x:t>
        </x:is>
      </x:c>
      <x:c r="B28" s="93" t="inlineStr">
        <x:is>
          <x:t xml:space="preserve">다음 웨이브 반동</x:t>
        </x:is>
      </x:c>
      <x:c r="C28" s="93" t="inlineStr">
        <x:is>
          <x:t xml:space="preserve">적 수 +65% -&gt; +50%</x:t>
        </x:is>
      </x:c>
      <x:c r="D28" s="93" t="inlineStr">
        <x:is>
          <x:t xml:space="preserve">DefenseGameController.cs</x:t>
        </x:is>
      </x:c>
      <x:c r="E28" s="93" t="inlineStr">
        <x:is>
          <x:t xml:space="preserve">적용</x:t>
        </x:is>
      </x:c>
      <x:c r="F28" s="93" t="inlineStr">
        <x:is>
          <x:t xml:space="preserve">악마와의 거래는 유지하고 R9~R10 급사 편차 완화</x:t>
        </x:is>
      </x:c>
    </x:row>
    <x:row r="29" ht="44" customHeight="1">
      <x:c r="A29" s="92" t="inlineStr">
        <x:is>
          <x:t xml:space="preserve">운명카드</x:t>
        </x:is>
      </x:c>
      <x:c r="B29" s="92" t="inlineStr">
        <x:is>
          <x:t xml:space="preserve">경제 페널티</x:t>
        </x:is>
      </x:c>
      <x:c r="C29" s="92" t="inlineStr">
        <x:is>
          <x:t xml:space="preserve">금단 50%-&gt;40% / 에픽 35%-&gt;30% / 방벽 30%-&gt;25%</x:t>
        </x:is>
      </x:c>
      <x:c r="D29" s="92" t="inlineStr">
        <x:is>
          <x:t xml:space="preserve">DefenseGameController.cs</x:t>
        </x:is>
      </x:c>
      <x:c r="E29" s="92" t="inlineStr">
        <x:is>
          <x:t xml:space="preserve">적용</x:t>
        </x:is>
      </x:c>
      <x:c r="F29" s="92" t="inlineStr">
        <x:is>
          <x:t xml:space="preserve">사용 후 경제 회복 불가능 구간 완화</x:t>
        </x:is>
      </x:c>
    </x:row>
    <x:row r="30" ht="44" customHeight="1">
      <x:c r="A30" s="93" t="inlineStr">
        <x:is>
          <x:t xml:space="preserve">운명카드</x:t>
        </x:is>
      </x:c>
      <x:c r="B30" s="93" t="inlineStr">
        <x:is>
          <x:t xml:space="preserve">도박사의 판 실패</x:t>
        </x:is>
      </x:c>
      <x:c r="C30" s="93" t="inlineStr">
        <x:is>
          <x:t xml:space="preserve">HP -3 -&gt; -2</x:t>
        </x:is>
      </x:c>
      <x:c r="D30" s="93" t="inlineStr">
        <x:is>
          <x:t xml:space="preserve">DefenseGameController.cs</x:t>
        </x:is>
      </x:c>
      <x:c r="E30" s="93" t="inlineStr">
        <x:is>
          <x:t xml:space="preserve">적용</x:t>
        </x:is>
      </x:c>
      <x:c r="F30" s="93" t="inlineStr">
        <x:is>
          <x:t xml:space="preserve">70% 성공 카드 실패가 즉시 패배로 직결되는 빈도 감소</x:t>
        </x:is>
      </x:c>
    </x:row>
    <x:row r="31" ht="44" customHeight="1">
      <x:c r="A31" s="92" t="inlineStr">
        <x:is>
          <x:t xml:space="preserve">소형상점</x:t>
        </x:is>
      </x:c>
      <x:c r="B31" s="92" t="inlineStr">
        <x:is>
          <x:t xml:space="preserve">3개 상품 역할 분리</x:t>
        </x:is>
      </x:c>
      <x:c r="C31" s="92" t="inlineStr">
        <x:is>
          <x:t xml:space="preserve">합성 부스터 + 소환 쿠폰(위기 시 의무병) + 무작위 1개</x:t>
        </x:is>
      </x:c>
      <x:c r="D31" s="92" t="inlineStr">
        <x:is>
          <x:t xml:space="preserve">RunShopSystem.cs</x:t>
        </x:is>
      </x:c>
      <x:c r="E31" s="92" t="inlineStr">
        <x:is>
          <x:t xml:space="preserve">적용</x:t>
        </x:is>
      </x:c>
      <x:c r="F31" s="92" t="inlineStr">
        <x:is>
          <x:t xml:space="preserve">합성/경제/상황대응을 매번 비교 가능</x:t>
        </x:is>
      </x:c>
    </x:row>
    <x:row r="32" ht="44" customHeight="1">
      <x:c r="A32" s="93" t="inlineStr">
        <x:is>
          <x:t xml:space="preserve">소형상점</x:t>
        </x:is>
      </x:c>
      <x:c r="B32" s="93" t="inlineStr">
        <x:is>
          <x:t xml:space="preserve">소환 쿠폰</x:t>
        </x:is>
      </x:c>
      <x:c r="C32" s="93" t="inlineStr">
        <x:is>
          <x:t xml:space="preserve">이번 판 소환비 5% -&gt; 8% 할인</x:t>
        </x:is>
      </x:c>
      <x:c r="D32" s="93" t="inlineStr">
        <x:is>
          <x:t xml:space="preserve">RunShopSystem.cs</x:t>
        </x:is>
      </x:c>
      <x:c r="E32" s="93" t="inlineStr">
        <x:is>
          <x:t xml:space="preserve">적용</x:t>
        </x:is>
      </x:c>
      <x:c r="F32" s="93" t="inlineStr">
        <x:is>
          <x:t xml:space="preserve">즉시 소환과 장기 할인 사이 기회비용 강화</x:t>
        </x:is>
      </x:c>
    </x:row>
    <x:row r="33" ht="44" customHeight="1">
      <x:c r="A33" s="92" t="inlineStr">
        <x:is>
          <x:t xml:space="preserve">소형상점</x:t>
        </x:is>
      </x:c>
      <x:c r="B33" s="92" t="inlineStr">
        <x:is>
          <x:t xml:space="preserve">현장 의무병</x:t>
        </x:is>
      </x:c>
      <x:c r="C33" s="92" t="inlineStr">
        <x:is>
          <x:t xml:space="preserve">유닛 HP 25% + 방어선 HP 절반 이하일 때 HP 1 회복</x:t>
        </x:is>
      </x:c>
      <x:c r="D33" s="92" t="inlineStr">
        <x:is>
          <x:t xml:space="preserve">RunShopSystem.cs</x:t>
        </x:is>
      </x:c>
      <x:c r="E33" s="92" t="inlineStr">
        <x:is>
          <x:t xml:space="preserve">적용</x:t>
        </x:is>
      </x:c>
      <x:c r="F33" s="92" t="inlineStr">
        <x:is>
          <x:t xml:space="preserve">위기 때만 생존 가치가 생기는 조건부 회복</x:t>
        </x:is>
      </x:c>
    </x:row>
    <x:row r="34" ht="44" customHeight="1">
      <x:c r="A34" s="93" t="inlineStr">
        <x:is>
          <x:t xml:space="preserve">검증</x:t>
        </x:is>
      </x:c>
      <x:c r="B34" s="93" t="inlineStr">
        <x:is>
          <x:t xml:space="preserve">5판 안전 실측</x:t>
        </x:is>
      </x:c>
      <x:c r="C34" s="93" t="inlineStr">
        <x:is>
          <x:t xml:space="preserve">96배 -&gt; 40배 / fixed 0.025 / max 0.33 / 고정 시드</x:t>
        </x:is>
      </x:c>
      <x:c r="D34" s="93" t="inlineStr">
        <x:is>
          <x:t xml:space="preserve">DefenseGameBatchPlaytest.cs</x:t>
        </x:is>
      </x:c>
      <x:c r="E34" s="93" t="inlineStr">
        <x:is>
          <x:t xml:space="preserve">적용</x:t>
        </x:is>
      </x:c>
      <x:c r="F34" s="93" t="inlineStr">
        <x:is>
          <x:t xml:space="preserve">AttackHit·SkillHit·투사체 이벤트 누락 방지</x:t>
        </x:is>
      </x:c>
    </x:row>
    <x:row r="35" ht="44" customHeight="1">
      <x:c r="A35" s="92" t="inlineStr">
        <x:is>
          <x:t xml:space="preserve">경제</x:t>
        </x:is>
      </x:c>
      <x:c r="B35" s="92" t="inlineStr">
        <x:is>
          <x:t xml:space="preserve">연승 골드 누적</x:t>
        </x:is>
      </x:c>
      <x:c r="C35" s="92" t="inlineStr">
        <x:is>
          <x:t xml:space="preserve">라운드당 +1 -&gt; +0</x:t>
        </x:is>
      </x:c>
      <x:c r="D35" s="92" t="inlineStr">
        <x:is>
          <x:t xml:space="preserve">DefenseGameController.cs</x:t>
        </x:is>
      </x:c>
      <x:c r="E35" s="92" t="inlineStr">
        <x:is>
          <x:t xml:space="preserve">적용</x:t>
        </x:is>
      </x:c>
      <x:c r="F35" s="92" t="inlineStr">
        <x:is>
          <x:t xml:space="preserve">R10까지 누적되는 무조건 이득을 제거해 상점/소환 기회비용 유지</x:t>
        </x:is>
      </x:c>
    </x:row>
    <x:row r="36" ht="44" customHeight="1">
      <x:c r="A36" s="93" t="inlineStr">
        <x:is>
          <x:t xml:space="preserve">경제</x:t>
        </x:is>
      </x:c>
      <x:c r="B36" s="93" t="inlineStr">
        <x:is>
          <x:t xml:space="preserve">일반 몬스터 처치 골드</x:t>
        </x:is>
      </x:c>
      <x:c r="C36" s="93" t="inlineStr">
        <x:is>
          <x:t xml:space="preserve">4+등급x2 -&gt; 3+등급</x:t>
        </x:is>
      </x:c>
      <x:c r="D36" s="93" t="inlineStr">
        <x:is>
          <x:t xml:space="preserve">MonsterDatabase.cs</x:t>
        </x:is>
      </x:c>
      <x:c r="E36" s="93" t="inlineStr">
        <x:is>
          <x:t xml:space="preserve">적용</x:t>
        </x:is>
      </x:c>
      <x:c r="F36" s="93" t="inlineStr">
        <x:is>
          <x:t xml:space="preserve">초반 안정성은 남기고 R7~R10 과잉 소환 재원 축소</x:t>
        </x:is>
      </x:c>
    </x:row>
    <x:row r="37" ht="44" customHeight="1">
      <x:c r="A37" s="92" t="inlineStr">
        <x:is>
          <x:t xml:space="preserve">라운드</x:t>
        </x:is>
      </x:c>
      <x:c r="B37" s="92" t="inlineStr">
        <x:is>
          <x:t xml:space="preserve">R5~R9 일반 몬스터 완화</x:t>
        </x:is>
      </x:c>
      <x:c r="C37" s="92" t="inlineStr">
        <x:is>
          <x:t xml:space="preserve">기본 수 -2 -&gt; 기본 수 -1</x:t>
        </x:is>
      </x:c>
      <x:c r="D37" s="92" t="inlineStr">
        <x:is>
          <x:t xml:space="preserve">RoundManager.cs</x:t>
        </x:is>
      </x:c>
      <x:c r="E37" s="92" t="inlineStr">
        <x:is>
          <x:t xml:space="preserve">적용</x:t>
        </x:is>
      </x:c>
      <x:c r="F37" s="92" t="inlineStr">
        <x:is>
          <x:t xml:space="preserve">초반 3소환은 보호하되 보스 전 압박을 절반 복원</x:t>
        </x:is>
      </x:c>
    </x:row>
    <x:row r="38" ht="44" customHeight="1">
      <x:c r="A38" s="93" t="inlineStr">
        <x:is>
          <x:t xml:space="preserve">R10 보스</x:t>
        </x:is>
      </x:c>
      <x:c r="B38" s="93" t="inlineStr">
        <x:is>
          <x:t xml:space="preserve">첫 보스 스탯</x:t>
        </x:is>
      </x:c>
      <x:c r="C38" s="93" t="inlineStr">
        <x:is>
          <x:t xml:space="preserve">HP x2.10-&gt;x2.75 / 공격 x1.48-&gt;x1.78 / 스킬 x1.25-&gt;x1.45</x:t>
        </x:is>
      </x:c>
      <x:c r="D38" s="93" t="inlineStr">
        <x:is>
          <x:t xml:space="preserve">MonsterDatabase.cs</x:t>
        </x:is>
      </x:c>
      <x:c r="E38" s="93" t="inlineStr">
        <x:is>
          <x:t xml:space="preserve">적용</x:t>
        </x:is>
      </x:c>
      <x:c r="F38" s="93" t="inlineStr">
        <x:is>
          <x:t xml:space="preserve">일반 라운드는 유지하고 R10 선택 결과만 검증</x:t>
        </x:is>
      </x:c>
    </x:row>
    <x:row r="39" ht="44" customHeight="1">
      <x:c r="A39" s="92" t="inlineStr">
        <x:is>
          <x:t xml:space="preserve">R10 보스</x:t>
        </x:is>
      </x:c>
      <x:c r="B39" s="92" t="inlineStr">
        <x:is>
          <x:t xml:space="preserve">지원·제어 상한</x:t>
        </x:is>
      </x:c>
      <x:c r="C39" s="92" t="inlineStr">
        <x:is>
          <x:t xml:space="preserve">지원 4-&gt;6기 / 스턴 1-&gt;2명 / 광역 x1.45-&gt;x1.60</x:t>
        </x:is>
      </x:c>
      <x:c r="D39" s="92" t="inlineStr">
        <x:is>
          <x:t xml:space="preserve">MonsterDatabase.cs / RoundManager.cs</x:t>
        </x:is>
      </x:c>
      <x:c r="E39" s="92" t="inlineStr">
        <x:is>
          <x:t xml:space="preserve">적용</x:t>
        </x:is>
      </x:c>
      <x:c r="F39" s="92" t="inlineStr">
        <x:is>
          <x:t xml:space="preserve">단순 체력벽보다 배치와 상태이상 대응을 요구</x:t>
        </x:is>
      </x:c>
    </x:row>
    <x:row r="40" ht="44" customHeight="1">
      <x:c r="A40" s="93" t="inlineStr">
        <x:is>
          <x:t xml:space="preserve">검증</x:t>
        </x:is>
      </x:c>
      <x:c r="B40" s="93" t="inlineStr">
        <x:is>
          <x:t xml:space="preserve">R10 실제 종료 판정</x:t>
        </x:is>
      </x:c>
      <x:c r="C40" s="93" t="inlineStr">
        <x:is>
          <x:t xml:space="preserve">R10 진입 판정 제거 / R10 보스 종료 직후 판정</x:t>
        </x:is>
      </x:c>
      <x:c r="D40" s="93" t="inlineStr">
        <x:is>
          <x:t xml:space="preserve">DefenseGameBatchPlaytest.cs</x:t>
        </x:is>
      </x:c>
      <x:c r="E40" s="93" t="inlineStr">
        <x:is>
          <x:t xml:space="preserve">적용</x:t>
        </x:is>
      </x:c>
      <x:c r="F40" s="93" t="inlineStr">
        <x:is>
          <x:t xml:space="preserve">R10 시작 전 성공 및 R11 진입 오판 제거</x:t>
        </x:is>
      </x:c>
    </x:row>
    <x:row r="41" ht="44" customHeight="1">
      <x:c r="A41" s="92" t="inlineStr">
        <x:is>
          <x:t xml:space="preserve">검증</x:t>
        </x:is>
      </x:c>
      <x:c r="B41" s="92" t="inlineStr">
        <x:is>
          <x:t xml:space="preserve">전투 중 운명카드 정책</x:t>
        </x:is>
      </x:c>
      <x:c r="C41" s="92" t="inlineStr">
        <x:is>
          <x:t xml:space="preserve">CanOpen -&gt; 중앙 3장 -&gt; 1장 선택 / 판당 1회</x:t>
        </x:is>
      </x:c>
      <x:c r="D41" s="92" t="inlineStr">
        <x:is>
          <x:t xml:space="preserve">DefenseGameBatchPlaytest.cs</x:t>
        </x:is>
      </x:c>
      <x:c r="E41" s="92" t="inlineStr">
        <x:is>
          <x:t xml:space="preserve">적용</x:t>
        </x:is>
      </x:c>
      <x:c r="F41" s="92" t="inlineStr">
        <x:is>
          <x:t xml:space="preserve">실제 유저의 위기 카드 흐름으로 3전략 검증</x:t>
        </x:is>
      </x:c>
    </x:row>
  </x:sheetData>
  <x:mergeCells>
    <x:mergeCell ref="A19:F19"/>
    <x:mergeCell ref="A2:F2"/>
    <x:mergeCell ref="A1:F1"/>
    <x:mergeCell ref="A25:F25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4" customWidth="1"/>
    <x:col min="3" max="3" width="46" customWidth="1"/>
    <x:col min="4" max="4" width="20" customWidth="1"/>
    <x:col min="5" max="5" width="58" customWidth="1"/>
    <x:col min="6" max="6" width="24" customWidth="1"/>
  </x:cols>
  <x:sheetData>
    <x:row r="1">
      <x:c r="A1" s="89" t="inlineStr">
        <x:is>
          <x:t xml:space="preserve">Unity 최신 검증 스냅샷 (2026-07-11)</x:t>
        </x:is>
      </x:c>
    </x:row>
    <x:row r="3">
      <x:c r="A3" s="101" t="inlineStr">
        <x:is>
          <x:t xml:space="preserve">검증 항목</x:t>
        </x:is>
      </x:c>
      <x:c r="B3" s="101" t="inlineStr">
        <x:is>
          <x:t xml:space="preserve">결과</x:t>
        </x:is>
      </x:c>
      <x:c r="C3" s="101" t="inlineStr">
        <x:is>
          <x:t xml:space="preserve">출처</x:t>
        </x:is>
      </x:c>
      <x:c r="D3" s="101" t="inlineStr">
        <x:is>
          <x:t xml:space="preserve">현재 상태</x:t>
        </x:is>
      </x:c>
      <x:c r="E3" s="101" t="inlineStr">
        <x:is>
          <x:t xml:space="preserve">비고</x:t>
        </x:is>
      </x:c>
      <x:c r="F3" s="101" t="inlineStr">
        <x:is>
          <x:t xml:space="preserve">범위</x:t>
        </x:is>
      </x:c>
    </x:row>
    <x:row r="4">
      <x:c r="A4" s="93" t="inlineStr">
        <x:is>
          <x:t xml:space="preserve">세로 UI + hero_55~57 스모크</x:t>
        </x:is>
      </x:c>
      <x:c r="B4" s="93" t="inlineStr">
        <x:is>
          <x:t xml:space="preserve">PASS / runtimeErrors 0</x:t>
        </x:is>
      </x:c>
      <x:c r="C4" s="93" t="inlineStr">
        <x:is>
          <x:t xml:space="preserve">BatchPlaytestResults/DefenseGame_PlayModeSmoke.json</x:t>
        </x:is>
      </x:c>
      <x:c r="D4" s="93" t="inlineStr">
        <x:is>
          <x:t xml:space="preserve">정상</x:t>
        </x:is>
      </x:c>
      <x:c r="E4" s="93" t="inlineStr">
        <x:is>
          <x:t xml:space="preserve">안전영역·초상화·HP10·VFX</x:t>
        </x:is>
      </x:c>
      <x:c r="F4" s="93" t="inlineStr">
        <x:is>
          <x:t xml:space="preserve">3종 초월 유닛</x:t>
        </x:is>
      </x:c>
    </x:row>
    <x:row r="5">
      <x:c r="A5" s="92" t="inlineStr">
        <x:is>
          <x:t xml:space="preserve">보스/몬스터 애니메이션 스모크</x:t>
        </x:is>
      </x:c>
      <x:c r="B5" s="92" t="inlineStr">
        <x:is>
          <x:t xml:space="preserve">PASS / runtimeErrors 0</x:t>
        </x:is>
      </x:c>
      <x:c r="C5" s="92" t="inlineStr">
        <x:is>
          <x:t xml:space="preserve">BatchPlaytestResults/DefenseGame_BossAnimationSmoke.json</x:t>
        </x:is>
      </x:c>
      <x:c r="D5" s="92" t="inlineStr">
        <x:is>
          <x:t xml:space="preserve">정상</x:t>
        </x:is>
      </x:c>
      <x:c r="E5" s="92" t="inlineStr">
        <x:is>
          <x:t xml:space="preserve">AttackHit·SkillHit·FireProjectile 바인딩</x:t>
        </x:is>
      </x:c>
      <x:c r="F5" s="92" t="inlineStr">
        <x:is>
          <x:t xml:space="preserve">mob_01~09</x:t>
        </x:is>
      </x:c>
    </x:row>
    <x:row r="6">
      <x:c r="A6" s="93" t="inlineStr">
        <x:is>
          <x:t xml:space="preserve">인간형 3전략 5판</x:t>
        </x:is>
      </x:c>
      <x:c r="B6" s="93" t="inlineStr">
        <x:is>
          <x:t xml:space="preserve">R10 2/5 (40%)</x:t>
        </x:is>
      </x:c>
      <x:c r="C6" s="93" t="inlineStr">
        <x:is>
          <x:t xml:space="preserve">DefenseGame_Playtest5_Human3.json 유효 실행 기록</x:t>
        </x:is>
      </x:c>
      <x:c r="D6" s="93" t="inlineStr">
        <x:is>
          <x:t xml:space="preserve">목표 65~75% 미달</x:t>
        </x:is>
      </x:c>
      <x:c r="E6" s="93" t="inlineStr">
        <x:is>
          <x:t xml:space="preserve">추가 완화 후 Unity 재실측 필요</x:t>
        </x:is>
      </x:c>
      <x:c r="F6" s="93" t="inlineStr">
        <x:is>
          <x:t xml:space="preserve">밸런스</x:t>
        </x:is>
      </x:c>
    </x:row>
    <x:row r="7">
      <x:c r="A7" s="92" t="inlineStr">
        <x:is>
          <x:t xml:space="preserve">R5~R9 사전 보스 웨이브</x:t>
        </x:is>
      </x:c>
      <x:c r="B7" s="92" t="inlineStr">
        <x:is>
          <x:t xml:space="preserve">일반 몽스터 수 -2</x:t>
        </x:is>
      </x:c>
      <x:c r="C7" s="92" t="inlineStr">
        <x:is>
          <x:t xml:space="preserve">RoundManager.cs</x:t>
        </x:is>
      </x:c>
      <x:c r="D7" s="92" t="inlineStr">
        <x:is>
          <x:t xml:space="preserve">적용</x:t>
        </x:is>
      </x:c>
      <x:c r="E7" s="92" t="inlineStr">
        <x:is>
          <x:t xml:space="preserve">초반 3마리 소환 상한 재밸런스</x:t>
        </x:is>
      </x:c>
      <x:c r="F7" s="92" t="inlineStr">
        <x:is>
          <x:t xml:space="preserve">초반 난이도</x:t>
        </x:is>
      </x:c>
    </x:row>
    <x:row r="8">
      <x:c r="A8" s="93" t="inlineStr">
        <x:is>
          <x:t xml:space="preserve">프로젝타일 충돌 보완</x:t>
        </x:is>
      </x:c>
      <x:c r="B8" s="93" t="inlineStr">
        <x:is>
          <x:t xml:space="preserve">수평 회전 + 높이 추적 이동</x:t>
        </x:is>
      </x:c>
      <x:c r="C8" s="93" t="inlineStr">
        <x:is>
          <x:t xml:space="preserve">Projectile.cs</x:t>
        </x:is>
      </x:c>
      <x:c r="D8" s="93" t="inlineStr">
        <x:is>
          <x:t xml:space="preserve">적용</x:t>
        </x:is>
      </x:c>
      <x:c r="E8" s="93" t="inlineStr">
        <x:is>
          <x:t xml:space="preserve">대상 고도 차이에서도 충돌 판정 안정</x:t>
        </x:is>
      </x:c>
      <x:c r="F8" s="93" t="inlineStr">
        <x:is>
          <x:t xml:space="preserve">전체 프로젝타일</x:t>
        </x:is>
      </x:c>
    </x:row>
    <x:row r="9">
      <x:c r="A9" s="92" t="inlineStr">
        <x:is>
          <x:t xml:space="preserve">C# 빌드</x:t>
        </x:is>
      </x:c>
      <x:c r="B9" s="92" t="inlineStr">
        <x:is>
          <x:t xml:space="preserve">0 경고 / 0 오류</x:t>
        </x:is>
      </x:c>
      <x:c r="C9" s="92" t="inlineStr">
        <x:is>
          <x:t xml:space="preserve">Assembly-CSharp.csproj --no-restore</x:t>
        </x:is>
      </x:c>
      <x:c r="D9" s="92" t="inlineStr">
        <x:is>
          <x:t xml:space="preserve">통과</x:t>
        </x:is>
      </x:c>
      <x:c r="E9" s="92" t="inlineStr">
        <x:is>
          <x:t xml:space="preserve">최신 소스 컴파일 확인</x:t>
        </x:is>
      </x:c>
      <x:c r="F9" s="92" t="inlineStr">
        <x:is>
          <x:t xml:space="preserve">전체 어셈블리</x:t>
        </x:is>
      </x:c>
    </x:row>
    <x:row r="10" ht="42" customHeight="1">
      <x:c r="A10" s="93" t="inlineStr">
        <x:is>
          <x:t xml:space="preserve">9점 보완 C# 빌드</x:t>
        </x:is>
      </x:c>
      <x:c r="B10" s="93" t="inlineStr">
        <x:is>
          <x:t xml:space="preserve">PASS / 경고 0 / 오류 0</x:t>
        </x:is>
      </x:c>
      <x:c r="C10" s="93" t="inlineStr">
        <x:is>
          <x:t xml:space="preserve">Assembly-CSharp.csproj --no-restore</x:t>
        </x:is>
      </x:c>
      <x:c r="D10" s="93" t="inlineStr">
        <x:is>
          <x:t xml:space="preserve">통과</x:t>
        </x:is>
      </x:c>
      <x:c r="E10" s="93" t="inlineStr">
        <x:is>
          <x:t xml:space="preserve">운명카드·상점·테스트 하네스</x:t>
        </x:is>
      </x:c>
      <x:c r="F10" s="93" t="inlineStr">
        <x:is>
          <x:t xml:space="preserve">전체 컴파일</x:t>
        </x:is>
      </x:c>
    </x:row>
    <x:row r="11" ht="42" customHeight="1">
      <x:c r="A11" s="92" t="inlineStr">
        <x:is>
          <x:t xml:space="preserve">9점 보완 Play Mode 스모크</x:t>
        </x:is>
      </x:c>
      <x:c r="B11" s="92" t="inlineStr">
        <x:is>
          <x:t xml:space="preserve">PASS / runtimeErrors 0</x:t>
        </x:is>
      </x:c>
      <x:c r="C11" s="92" t="inlineStr">
        <x:is>
          <x:t xml:space="preserve">BatchPlaytestResults/DefenseGame_PlayModeSmoke.json</x:t>
        </x:is>
      </x:c>
      <x:c r="D11" s="92" t="inlineStr">
        <x:is>
          <x:t xml:space="preserve">통과</x:t>
        </x:is>
      </x:c>
      <x:c r="E11" s="92" t="inlineStr">
        <x:is>
          <x:t xml:space="preserve">Safe Area·hero_55~57·애니메이션·VFX</x:t>
        </x:is>
      </x:c>
      <x:c r="F11" s="92" t="inlineStr">
        <x:is>
          <x:t xml:space="preserve">세로 UI/신규 초월</x:t>
        </x:is>
      </x:c>
    </x:row>
    <x:row r="12" ht="42" customHeight="1">
      <x:c r="A12" s="93" t="inlineStr">
        <x:is>
          <x:t xml:space="preserve">9점 보완 인간형 3전략 5판</x:t>
        </x:is>
      </x:c>
      <x:c r="B12" s="93" t="inlineStr">
        <x:is>
          <x:t xml:space="preserve">R10 5/5 (100%) / 운명 5/5</x:t>
        </x:is>
      </x:c>
      <x:c r="C12" s="93" t="inlineStr">
        <x:is>
          <x:t xml:space="preserve">BatchPlaytestResults/DefenseGame_Playtest5_Human3.json</x:t>
        </x:is>
      </x:c>
      <x:c r="D12" s="93" t="inlineStr">
        <x:is>
          <x:t xml:space="preserve">높음</x:t>
        </x:is>
      </x:c>
      <x:c r="E12" s="93" t="inlineStr">
        <x:is>
          <x:t xml:space="preserve">평균 종료 HP 8.6, 골드 144.4, 소환 17.2회 / 목표보다 쉬움; 40배 안전속도·고정 시드·실제 R10 종료 판정</x:t>
        </x:is>
      </x:c>
      <x:c r="F12" s="93" t="inlineStr">
        <x:is>
          <x:t xml:space="preserve">summon-heavy / balanced / shop-save</x:t>
        </x:is>
      </x:c>
    </x:row>
    <x:row r="13" ht="42" customHeight="1">
      <x:c r="A13" s="92" t="inlineStr">
        <x:is>
          <x:t xml:space="preserve">R5~R9 일반 몬스터 완화</x:t>
        </x:is>
      </x:c>
      <x:c r="B13" s="92" t="inlineStr">
        <x:is>
          <x:t xml:space="preserve">기본 수 -1</x:t>
        </x:is>
      </x:c>
      <x:c r="C13" s="92" t="inlineStr">
        <x:is>
          <x:t xml:space="preserve">RoundManager.cs</x:t>
        </x:is>
      </x:c>
      <x:c r="D13" s="92" t="inlineStr">
        <x:is>
          <x:t xml:space="preserve">적용</x:t>
        </x:is>
      </x:c>
      <x:c r="E13" s="92" t="inlineStr">
        <x:is>
          <x:t xml:space="preserve">초반 3소환 보호와 R10 전 압박 사이 중간값</x:t>
        </x:is>
      </x:c>
      <x:c r="F13" s="92" t="inlineStr">
        <x:is>
          <x:t xml:space="preserve">R5~R9</x:t>
        </x:is>
      </x:c>
    </x:row>
    <x:row r="14" ht="42" customHeight="1">
      <x:c r="A14" s="93" t="inlineStr">
        <x:is>
          <x:t xml:space="preserve">R10 첫 보스 압박</x:t>
        </x:is>
      </x:c>
      <x:c r="B14" s="93" t="inlineStr">
        <x:is>
          <x:t xml:space="preserve">HP x2.75 / 공격 x1.78 / 스킬 x1.45 / 지원 6기 / 최대 스턴 2명</x:t>
        </x:is>
      </x:c>
      <x:c r="C14" s="93" t="inlineStr">
        <x:is>
          <x:t xml:space="preserve">MonsterDatabase.cs / RoundManager.cs</x:t>
        </x:is>
      </x:c>
      <x:c r="D14" s="93" t="inlineStr">
        <x:is>
          <x:t xml:space="preserve">적용</x:t>
        </x:is>
      </x:c>
      <x:c r="E14" s="93" t="inlineStr">
        <x:is>
          <x:t xml:space="preserve">R10 한정; 일반 라운드·후속 보스 표는 유지</x:t>
        </x:is>
      </x:c>
      <x:c r="F14" s="93" t="inlineStr">
        <x:is>
          <x:t xml:space="preserve">Boss encounter 0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customWidth="1"/>
    <x:col min="2" max="2" width="23" customWidth="1"/>
    <x:col min="3" max="3" width="46" customWidth="1"/>
    <x:col min="4" max="4" width="38" customWidth="1"/>
    <x:col min="5" max="5" width="12" customWidth="1"/>
    <x:col min="6" max="6" width="48" customWidth="1"/>
  </x:cols>
  <x:sheetData>
    <x:row r="1" ht="28" customHeight="1">
      <x:c r="A1" s="114" t="inlineStr">
        <x:is>
          <x:t xml:space="preserve">최신 수정 및 밸런스 동기화 (2026-07-17)</x:t>
        </x:is>
      </x:c>
    </x:row>
    <x:row r="2" ht="28" customHeight="1">
      <x:c r="A2" s="130" t="inlineStr">
        <x:is>
          <x:t xml:space="preserve">디바이스 안정화, 전투 선택 가독성, 상점 일정 충돌, 경제 중첩, Unity 실측을 한 번에 동기화한 기준 시트</x:t>
        </x:is>
      </x:c>
    </x:row>
    <x:row r="4">
      <x:c r="A4" s="120" t="inlineStr">
        <x:is>
          <x:t xml:space="preserve">분류</x:t>
        </x:is>
      </x:c>
      <x:c r="B4" s="120" t="inlineStr">
        <x:is>
          <x:t xml:space="preserve">항목</x:t>
        </x:is>
      </x:c>
      <x:c r="C4" s="120" t="inlineStr">
        <x:is>
          <x:t xml:space="preserve">최신 설정</x:t>
        </x:is>
      </x:c>
      <x:c r="D4" s="120" t="inlineStr">
        <x:is>
          <x:t xml:space="preserve">코드 근거</x:t>
        </x:is>
      </x:c>
      <x:c r="E4" s="120" t="inlineStr">
        <x:is>
          <x:t xml:space="preserve">상태</x:t>
        </x:is>
      </x:c>
      <x:c r="F4" s="120" t="inlineStr">
        <x:is>
          <x:t xml:space="preserve">메모</x:t>
        </x:is>
      </x:c>
    </x:row>
    <x:row r="5" ht="38" customHeight="1">
      <x:c r="A5" s="124" t="inlineStr">
        <x:is>
          <x:t xml:space="preserve">릴리스</x:t>
        </x:is>
      </x:c>
      <x:c r="B5" s="124" t="inlineStr">
        <x:is>
          <x:t xml:space="preserve">Build Settings</x:t>
        </x:is>
      </x:c>
      <x:c r="C5" s="124" t="inlineStr">
        <x:is>
          <x:t xml:space="preserve">DG.unity 표준 빌드 씬 등록</x:t>
        </x:is>
      </x:c>
      <x:c r="D5" s="124" t="inlineStr">
        <x:is>
          <x:t xml:space="preserve">ProjectSettings/EditorBuildSettings.asset</x:t>
        </x:is>
      </x:c>
      <x:c r="E5" s="124" t="inlineStr">
        <x:is>
          <x:t xml:space="preserve">적용</x:t>
        </x:is>
      </x:c>
      <x:c r="F5" s="124" t="inlineStr">
        <x:is>
          <x:t xml:space="preserve">커스텀 빌더 외 일반 Build에서도 씬 누락 방지</x:t>
        </x:is>
      </x:c>
    </x:row>
    <x:row r="6" ht="38" customHeight="1">
      <x:c r="A6" s="125" t="inlineStr">
        <x:is>
          <x:t xml:space="preserve">상점</x:t>
        </x:is>
      </x:c>
      <x:c r="B6" s="125" t="inlineStr">
        <x:is>
          <x:t xml:space="preserve">등장 주기</x:t>
        </x:is>
      </x:c>
      <x:c r="C6" s="125" t="inlineStr">
        <x:is>
          <x:t xml:space="preserve">R3부터 8라운드마다 소형 상점 / 별도 정규 상점 비활성</x:t>
        </x:is>
      </x:c>
      <x:c r="D6" s="125" t="inlineStr">
        <x:is>
          <x:t xml:space="preserve">RunShopSystem.cs</x:t>
        </x:is>
      </x:c>
      <x:c r="E6" s="125" t="inlineStr">
        <x:is>
          <x:t xml:space="preserve">적용</x:t>
        </x:is>
      </x:c>
      <x:c r="F6" s="125" t="inlineStr">
        <x:is>
          <x:t xml:space="preserve">R11·19·27·35 중복 분기 제거</x:t>
        </x:is>
      </x:c>
    </x:row>
    <x:row r="7" ht="38" customHeight="1">
      <x:c r="A7" s="124" t="inlineStr">
        <x:is>
          <x:t xml:space="preserve">UI</x:t>
        </x:is>
      </x:c>
      <x:c r="B7" s="124" t="inlineStr">
        <x:is>
          <x:t xml:space="preserve">Safe Area</x:t>
        </x:is>
      </x:c>
      <x:c r="C7" s="124" t="inlineStr">
        <x:is>
          <x:t xml:space="preserve">상점·증강·미션·레시피·컬렉션 모달을 SafeAreaRoot 아래 생성</x:t>
        </x:is>
      </x:c>
      <x:c r="D7" s="124" t="inlineStr">
        <x:is>
          <x:t xml:space="preserve">RuntimeSceneBootstrap.cs</x:t>
        </x:is>
      </x:c>
      <x:c r="E7" s="124" t="inlineStr">
        <x:is>
          <x:t xml:space="preserve">적용</x:t>
        </x:is>
      </x:c>
      <x:c r="F7" s="124" t="inlineStr">
        <x:is>
          <x:t xml:space="preserve">Z Flip 계열 세로 화면 모서리 보호</x:t>
        </x:is>
      </x:c>
    </x:row>
    <x:row r="8" ht="38" customHeight="1">
      <x:c r="A8" s="125" t="inlineStr">
        <x:is>
          <x:t xml:space="preserve">UI</x:t>
        </x:is>
      </x:c>
      <x:c r="B8" s="125" t="inlineStr">
        <x:is>
          <x:t xml:space="preserve">모바일 안내문</x:t>
        </x:is>
      </x:c>
      <x:c r="C8" s="125" t="inlineStr">
        <x:is>
          <x:t xml:space="preserve">Android에서 PC 키보드 힌트 숨김</x:t>
        </x:is>
      </x:c>
      <x:c r="D8" s="125" t="inlineStr">
        <x:is>
          <x:t xml:space="preserve">RuntimeSceneBootstrap.cs</x:t>
        </x:is>
      </x:c>
      <x:c r="E8" s="125" t="inlineStr">
        <x:is>
          <x:t xml:space="preserve">적용</x:t>
        </x:is>
      </x:c>
      <x:c r="F8" s="125" t="inlineStr">
        <x:is>
          <x:t xml:space="preserve">개발용 Space/S/1-5 문구 제거</x:t>
        </x:is>
      </x:c>
    </x:row>
    <x:row r="9" ht="38" customHeight="1">
      <x:c r="A9" s="124" t="inlineStr">
        <x:is>
          <x:t xml:space="preserve">UI</x:t>
        </x:is>
      </x:c>
      <x:c r="B9" s="124" t="inlineStr">
        <x:is>
          <x:t xml:space="preserve">운명카드 가독성</x:t>
        </x:is>
      </x:c>
      <x:c r="C9" s="124" t="inlineStr">
        <x:is>
          <x:t xml:space="preserve">카드 300x250 / 최소 18pt / 즉시 효과+운명 빚 표시</x:t>
        </x:is>
      </x:c>
      <x:c r="D9" s="124" t="inlineStr">
        <x:is>
          <x:t xml:space="preserve">RuntimeSceneBootstrap.cs / DefenseGameController.cs</x:t>
        </x:is>
      </x:c>
      <x:c r="E9" s="124" t="inlineStr">
        <x:is>
          <x:t xml:space="preserve">적용</x:t>
        </x:is>
      </x:c>
      <x:c r="F9" s="124" t="inlineStr">
        <x:is>
          <x:t xml:space="preserve">선택 결과와 미래 반동을 동시에 비교</x:t>
        </x:is>
      </x:c>
    </x:row>
    <x:row r="10" ht="38" customHeight="1">
      <x:c r="A10" s="125" t="inlineStr">
        <x:is>
          <x:t xml:space="preserve">UI</x:t>
        </x:is>
      </x:c>
      <x:c r="B10" s="125" t="inlineStr">
        <x:is>
          <x:t xml:space="preserve">시너지 축약행</x:t>
        </x:is>
      </x:c>
      <x:c r="C10" s="125" t="inlineStr">
        <x:is>
          <x:t xml:space="preserve">제목 17pt / 설명 14pt</x:t>
        </x:is>
      </x:c>
      <x:c r="D10" s="125" t="inlineStr">
        <x:is>
          <x:t xml:space="preserve">RuntimeSceneBootstrap.cs</x:t>
        </x:is>
      </x:c>
      <x:c r="E10" s="125" t="inlineStr">
        <x:is>
          <x:t xml:space="preserve">적용</x:t>
        </x:is>
      </x:c>
      <x:c r="F10" s="125" t="inlineStr">
        <x:is>
          <x:t xml:space="preserve">모바일 최소 가독성 상향</x:t>
        </x:is>
      </x:c>
    </x:row>
    <x:row r="11" ht="38" customHeight="1">
      <x:c r="A11" s="124" t="inlineStr">
        <x:is>
          <x:t xml:space="preserve">성능</x:t>
        </x:is>
      </x:c>
      <x:c r="B11" s="124" t="inlineStr">
        <x:is>
          <x:t xml:space="preserve">60fps 런타임</x:t>
        </x:is>
      </x:c>
      <x:c r="C11" s="124" t="inlineStr">
        <x:is>
          <x:t xml:space="preserve">vSync 0 / targetFrameRate 60</x:t>
        </x:is>
      </x:c>
      <x:c r="D11" s="124" t="inlineStr">
        <x:is>
          <x:t xml:space="preserve">RuntimeEffectUtility.cs</x:t>
        </x:is>
      </x:c>
      <x:c r="E11" s="124" t="inlineStr">
        <x:is>
          <x:t xml:space="preserve">적용</x:t>
        </x:is>
      </x:c>
      <x:c r="F11" s="124" t="inlineStr">
        <x:is>
          <x:t xml:space="preserve">미추적 런타임 파일 의존성 제거</x:t>
        </x:is>
      </x:c>
    </x:row>
    <x:row r="12" ht="38" customHeight="1">
      <x:c r="A12" s="125" t="inlineStr">
        <x:is>
          <x:t xml:space="preserve">VFX</x:t>
        </x:is>
      </x:c>
      <x:c r="B12" s="125" t="inlineStr">
        <x:is>
          <x:t xml:space="preserve">공통 호환 처리</x:t>
        </x:is>
      </x:c>
      <x:c r="C12" s="125" t="inlineStr">
        <x:is>
          <x:t xml:space="preserve">모든 원샷 VFX URP 검사 / 파티클 시스템당 최대 96 / 동시 원샷 72</x:t>
        </x:is>
      </x:c>
      <x:c r="D12" s="125" t="inlineStr">
        <x:is>
          <x:t xml:space="preserve">RuntimeEffectUtility.cs</x:t>
        </x:is>
      </x:c>
      <x:c r="E12" s="125" t="inlineStr">
        <x:is>
          <x:t xml:space="preserve">적용</x:t>
        </x:is>
      </x:c>
      <x:c r="F12" s="125" t="inlineStr">
        <x:is>
          <x:t xml:space="preserve">마젠타·그림자·과도한 입자 방지</x:t>
        </x:is>
      </x:c>
    </x:row>
    <x:row r="13" ht="38" customHeight="1">
      <x:c r="A13" s="124" t="inlineStr">
        <x:is>
          <x:t xml:space="preserve">성능</x:t>
        </x:is>
      </x:c>
      <x:c r="B13" s="124" t="inlineStr">
        <x:is>
          <x:t xml:space="preserve">투사체 풀링</x:t>
        </x:is>
      </x:c>
      <x:c r="C13" s="124" t="inlineStr">
        <x:is>
          <x:t xml:space="preserve">프리팹당 최대 48개 재사용</x:t>
        </x:is>
      </x:c>
      <x:c r="D13" s="124" t="inlineStr">
        <x:is>
          <x:t xml:space="preserve">Projectile.cs / DefenderUnit.cs</x:t>
        </x:is>
      </x:c>
      <x:c r="E13" s="124" t="inlineStr">
        <x:is>
          <x:t xml:space="preserve">적용</x:t>
        </x:is>
      </x:c>
      <x:c r="F13" s="124" t="inlineStr">
        <x:is>
          <x:t xml:space="preserve">다연사·스킬 연속 발사 GC 스파이크 완화</x:t>
        </x:is>
      </x:c>
    </x:row>
    <x:row r="14" ht="38" customHeight="1">
      <x:c r="A14" s="125" t="inlineStr">
        <x:is>
          <x:t xml:space="preserve">경제</x:t>
        </x:is>
      </x:c>
      <x:c r="B14" s="125" t="inlineStr">
        <x:is>
          <x:t xml:space="preserve">라운드 수입</x:t>
        </x:is>
      </x:c>
      <x:c r="C14" s="125" t="inlineStr">
        <x:is>
          <x:t xml:space="preserve">시작 36G / 시작수입 1+floor(Rx0.40) / 클리어 5+floor(Rx0.75)</x:t>
        </x:is>
      </x:c>
      <x:c r="D14" s="125" t="inlineStr">
        <x:is>
          <x:t xml:space="preserve">DefenseGameController.cs</x:t>
        </x:is>
      </x:c>
      <x:c r="E14" s="125" t="inlineStr">
        <x:is>
          <x:t xml:space="preserve">적용</x:t>
        </x:is>
      </x:c>
      <x:c r="F14" s="125" t="inlineStr">
        <x:is>
          <x:t xml:space="preserve">첫 3소환은 유지하고 R10 누적 보급 축소</x:t>
        </x:is>
      </x:c>
    </x:row>
    <x:row r="15" ht="38" customHeight="1">
      <x:c r="A15" s="124" t="inlineStr">
        <x:is>
          <x:t xml:space="preserve">경제</x:t>
        </x:is>
      </x:c>
      <x:c r="B15" s="124" t="inlineStr">
        <x:is>
          <x:t xml:space="preserve">초반 보급</x:t>
        </x:is>
      </x:c>
      <x:c r="C15" s="124" t="inlineStr">
        <x:is>
          <x:t xml:space="preserve">R3 대체 보급 4G / R4 무조건 보스 보급 0G</x:t>
        </x:is>
      </x:c>
      <x:c r="D15" s="124" t="inlineStr">
        <x:is>
          <x:t xml:space="preserve">DefenseGameController.cs</x:t>
        </x:is>
      </x:c>
      <x:c r="E15" s="124" t="inlineStr">
        <x:is>
          <x:t xml:space="preserve">적용</x:t>
        </x:is>
      </x:c>
      <x:c r="F15" s="124" t="inlineStr">
        <x:is>
          <x:t xml:space="preserve">클릭형 무조건 혜택 중첩 제거</x:t>
        </x:is>
      </x:c>
    </x:row>
    <x:row r="16" ht="46" customHeight="1">
      <x:c r="A16" s="125" t="inlineStr">
        <x:is>
          <x:t xml:space="preserve">검증</x:t>
        </x:is>
      </x:c>
      <x:c r="B16" s="125" t="inlineStr">
        <x:is>
          <x:t xml:space="preserve">Unity 스모크</x:t>
        </x:is>
      </x:c>
      <x:c r="C16" s="125" t="inlineStr">
        <x:is>
          <x:t xml:space="preserve">세로 UI·hero55~57·hero32·동시사망 정책 PASS</x:t>
        </x:is>
      </x:c>
      <x:c r="D16" s="125" t="inlineStr">
        <x:is>
          <x:t xml:space="preserve">DefenseGame_PlayModeSmoke.json</x:t>
        </x:is>
      </x:c>
      <x:c r="E16" s="125" t="inlineStr">
        <x:is>
          <x:t xml:space="preserve">통과</x:t>
        </x:is>
      </x:c>
      <x:c r="F16" s="125" t="inlineStr">
        <x:is>
          <x:t xml:space="preserve">runtimeErrors 0</x:t>
        </x:is>
      </x:c>
    </x:row>
    <x:row r="17" ht="46" customHeight="1">
      <x:c r="A17" s="124" t="inlineStr">
        <x:is>
          <x:t xml:space="preserve">검증</x:t>
        </x:is>
      </x:c>
      <x:c r="B17" s="124" t="inlineStr">
        <x:is>
          <x:t xml:space="preserve">인간형 3전략 5판</x:t>
        </x:is>
      </x:c>
      <x:c r="C17" s="124" t="inlineStr">
        <x:is>
          <x:t xml:space="preserve">R10 4/5 = 80%</x:t>
        </x:is>
      </x:c>
      <x:c r="D17" s="124" t="inlineStr">
        <x:is>
          <x:t xml:space="preserve">DefenseGame_Playtest5_Human3.json</x:t>
        </x:is>
      </x:c>
      <x:c r="E17" s="124" t="inlineStr">
        <x:is>
          <x:t xml:space="preserve">목표 근접</x:t>
        </x:is>
      </x:c>
      <x:c r="F17" s="124" t="inlineStr">
        <x:is>
          <x:t xml:space="preserve">5판 단위 목표 65~75%의 최근접 상단값</x:t>
        </x:is>
      </x:c>
    </x:row>
    <x:row r="18" ht="52" customHeight="1">
      <x:c r="A18" s="133" t="inlineStr">
        <x:is>
          <x:t xml:space="preserve">판정</x:t>
        </x:is>
      </x:c>
      <x:c r="B18" s="133" t="inlineStr">
        <x:is>
          <x:t xml:space="preserve">동시사망</x:t>
        </x:is>
      </x:c>
      <x:c r="C18" s="133" t="inlineStr">
        <x:is>
          <x:t xml:space="preserve">마지막 적과 동시사망이면 HP 1 유저 승리</x:t>
        </x:is>
      </x:c>
      <x:c r="D18" s="133" t="inlineStr">
        <x:is>
          <x:t xml:space="preserve">DefenseGameController.cs</x:t>
        </x:is>
      </x:c>
      <x:c r="E18" s="133" t="inlineStr">
        <x:is>
          <x:t xml:space="preserve">적용</x:t>
        </x:is>
      </x:c>
      <x:c r="F18" s="133" t="inlineStr">
        <x:is>
          <x:t xml:space="preserve">마지막 적 사망 확정이 없는 누수는 패배</x:t>
        </x:is>
      </x:c>
    </x:row>
    <x:row r="19" ht="52" customHeight="1">
      <x:c r="A19" s="133" t="inlineStr">
        <x:is>
          <x:t xml:space="preserve">영웅</x:t>
        </x:is>
      </x:c>
      <x:c r="B19" s="133" t="inlineStr">
        <x:is>
          <x:t xml:space="preserve">hero_32</x:t>
        </x:is>
      </x:c>
      <x:c r="C19" s="133" t="inlineStr">
        <x:is>
          <x:t xml:space="preserve">야성의 추적탄: 220%·둔화 35% 4초·독 30%×4·공속 +25% 5초</x:t>
        </x:is>
      </x:c>
      <x:c r="D19" s="133" t="inlineStr">
        <x:is>
          <x:t xml:space="preserve">CharacterCombatTuningConfig.cs / AugmentManager.cs</x:t>
        </x:is>
      </x:c>
      <x:c r="E19" s="133" t="inlineStr">
        <x:is>
          <x:t xml:space="preserve">적용</x:t>
        </x:is>
      </x:c>
      <x:c r="F19" s="133" t="inlineStr">
        <x:is>
          <x:t xml:space="preserve">전용 증강 3종 포함</x:t>
        </x:is>
      </x:c>
    </x:row>
    <x:row r="20" ht="52" customHeight="1">
      <x:c r="A20" s="133" t="inlineStr">
        <x:is>
          <x:t xml:space="preserve">밸런스</x:t>
        </x:is>
      </x:c>
      <x:c r="B20" s="133" t="inlineStr">
        <x:is>
          <x:t xml:space="preserve">R10 골렘</x:t>
        </x:is>
      </x:c>
      <x:c r="C20" s="133" t="inlineStr">
        <x:is>
          <x:t xml:space="preserve">체력 배율 2.94 / 공격 배율 1.84</x:t>
        </x:is>
      </x:c>
      <x:c r="D20" s="133" t="inlineStr">
        <x:is>
          <x:t xml:space="preserve">MonsterDatabase.cs</x:t>
        </x:is>
      </x:c>
      <x:c r="E20" s="133" t="inlineStr">
        <x:is>
          <x:t xml:space="preserve">적용</x:t>
        </x:is>
      </x:c>
      <x:c r="F20" s="133" t="inlineStr">
        <x:is>
          <x:t xml:space="preserve">직전 대비 체력 +6.9%, 공격 +3.4%</x:t>
        </x:is>
      </x:c>
    </x:row>
    <x:row r="21" ht="52" customHeight="1">
      <x:c r="A21" s="133" t="inlineStr">
        <x:is>
          <x:t xml:space="preserve">UI</x:t>
        </x:is>
      </x:c>
      <x:c r="B21" s="133" t="inlineStr">
        <x:is>
          <x:t xml:space="preserve">승리 결과</x:t>
        </x:is>
      </x:c>
      <x:c r="C21" s="133" t="inlineStr">
        <x:is>
          <x:t xml:space="preserve">요약 28pt·메타 24pt·계속하기 28pt와 외곽선</x:t>
        </x:is>
      </x:c>
      <x:c r="D21" s="133" t="inlineStr">
        <x:is>
          <x:t xml:space="preserve">MetaFlowUI.cs</x:t>
        </x:is>
      </x:c>
      <x:c r="E21" s="133" t="inlineStr">
        <x:is>
          <x:t xml:space="preserve">적용</x:t>
        </x:is>
      </x:c>
      <x:c r="F21" s="133" t="inlineStr">
        <x:is>
          <x:t xml:space="preserve">모바일 결과 확인과 다음 행동 가독성 보강</x:t>
        </x:is>
      </x:c>
    </x:row>
    <x:row r="22" ht="58" customHeight="1">
      <x:c r="A22" s="133" t="inlineStr">
        <x:is>
          <x:t xml:space="preserve">기기</x:t>
        </x:is>
      </x:c>
      <x:c r="B22" s="133" t="inlineStr">
        <x:is>
          <x:t xml:space="preserve">Galaxy Z Flip 4</x:t>
        </x:is>
      </x:c>
      <x:c r="C22" s="133" t="inlineStr">
        <x:is>
          <x:t xml:space="preserve">최종 APK 설치·콜드 스타트·SurfaceFlinger 실측 완료</x:t>
        </x:is>
      </x:c>
      <x:c r="D22" s="133" t="inlineStr">
        <x:is>
          <x:t xml:space="preserve">Builds/Android/ProjectDG.apk</x:t>
        </x:is>
      </x:c>
      <x:c r="E22" s="133" t="inlineStr">
        <x:is>
          <x:t xml:space="preserve">통과</x:t>
        </x:is>
      </x:c>
      <x:c r="F22" s="133" t="inlineStr">
        <x:is>
          <x:t xml:space="preserve">59.85fps / p95 17.0ms / 20ms 초과 0 / Thermal 0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customWidth="1"/>
    <x:col min="2" max="2" width="23" customWidth="1"/>
    <x:col min="3" max="3" width="46" customWidth="1"/>
    <x:col min="4" max="4" width="38" customWidth="1"/>
    <x:col min="5" max="5" width="24" customWidth="1"/>
    <x:col min="6" max="6" width="38" customWidth="1"/>
  </x:cols>
  <x:sheetData>
    <x:row r="1" ht="28" customHeight="1">
      <x:c r="A1" s="114" t="inlineStr">
        <x:is>
          <x:t xml:space="preserve">Unity 최신 검증 스냅샷 (2026-07-17)</x:t>
        </x:is>
      </x:c>
    </x:row>
    <x:row r="3">
      <x:c r="A3" s="120" t="inlineStr">
        <x:is>
          <x:t xml:space="preserve">검증 항목</x:t>
        </x:is>
      </x:c>
      <x:c r="B3" s="120" t="inlineStr">
        <x:is>
          <x:t xml:space="preserve">결과</x:t>
        </x:is>
      </x:c>
      <x:c r="C3" s="120" t="inlineStr">
        <x:is>
          <x:t xml:space="preserve">출처</x:t>
        </x:is>
      </x:c>
      <x:c r="D3" s="120" t="inlineStr">
        <x:is>
          <x:t xml:space="preserve">현재 상태</x:t>
        </x:is>
      </x:c>
      <x:c r="E3" s="120" t="inlineStr">
        <x:is>
          <x:t xml:space="preserve">비고</x:t>
        </x:is>
      </x:c>
      <x:c r="F3" s="120" t="inlineStr">
        <x:is>
          <x:t xml:space="preserve">범위</x:t>
        </x:is>
      </x:c>
    </x:row>
    <x:row r="4" ht="46" customHeight="1">
      <x:c r="A4" s="124" t="inlineStr">
        <x:is>
          <x:t xml:space="preserve">C# 빌드</x:t>
        </x:is>
      </x:c>
      <x:c r="B4" s="124" t="inlineStr">
        <x:is>
          <x:t xml:space="preserve">PASS / 경고 0 / 오류 0</x:t>
        </x:is>
      </x:c>
      <x:c r="C4" s="124" t="inlineStr">
        <x:is>
          <x:t xml:space="preserve">Assembly-CSharp.csproj --no-restore</x:t>
        </x:is>
      </x:c>
      <x:c r="D4" s="131" t="inlineStr">
        <x:is>
          <x:t xml:space="preserve">통과</x:t>
        </x:is>
      </x:c>
      <x:c r="E4" s="124" t="inlineStr">
        <x:is>
          <x:t xml:space="preserve">최신 어셈블리</x:t>
        </x:is>
      </x:c>
      <x:c r="F4" s="124" t="inlineStr">
        <x:is>
          <x:t xml:space="preserve">전체 어셈블리</x:t>
        </x:is>
      </x:c>
    </x:row>
    <x:row r="5" ht="46" customHeight="1">
      <x:c r="A5" s="125" t="inlineStr">
        <x:is>
          <x:t xml:space="preserve">세로 UI + hero_55~57 + hero_32</x:t>
        </x:is>
      </x:c>
      <x:c r="B5" s="125" t="inlineStr">
        <x:is>
          <x:t xml:space="preserve">PASS / runtimeErrors 0</x:t>
        </x:is>
      </x:c>
      <x:c r="C5" s="125" t="inlineStr">
        <x:is>
          <x:t xml:space="preserve">DefenseGame_PlayModeSmoke.json</x:t>
        </x:is>
      </x:c>
      <x:c r="D5" s="132" t="inlineStr">
        <x:is>
          <x:t xml:space="preserve">정상</x:t>
        </x:is>
      </x:c>
      <x:c r="E5" s="125" t="inlineStr">
        <x:is>
          <x:t xml:space="preserve">Safe Area·HP10·VFX·hero32 시그니처</x:t>
        </x:is>
      </x:c>
      <x:c r="F5" s="125" t="inlineStr">
        <x:is>
          <x:t xml:space="preserve">모바일 HUD/초월 3종/신화</x:t>
        </x:is>
      </x:c>
    </x:row>
    <x:row r="6" ht="46" customHeight="1">
      <x:c r="A6" s="124" t="inlineStr">
        <x:is>
          <x:t xml:space="preserve">보스/몬스터 애니메이션</x:t>
        </x:is>
      </x:c>
      <x:c r="B6" s="124" t="inlineStr">
        <x:is>
          <x:t xml:space="preserve">PASS / runtimeErrors 0</x:t>
        </x:is>
      </x:c>
      <x:c r="C6" s="124" t="inlineStr">
        <x:is>
          <x:t xml:space="preserve">DefenseGame_BossAnimationSmoke.json</x:t>
        </x:is>
      </x:c>
      <x:c r="D6" s="131" t="inlineStr">
        <x:is>
          <x:t xml:space="preserve">정상</x:t>
        </x:is>
      </x:c>
      <x:c r="E6" s="124" t="inlineStr">
        <x:is>
          <x:t xml:space="preserve">AttackHit·SkillHit·FireProjectile</x:t>
        </x:is>
      </x:c>
      <x:c r="F6" s="124" t="inlineStr">
        <x:is>
          <x:t xml:space="preserve">mob_01~09</x:t>
        </x:is>
      </x:c>
    </x:row>
    <x:row r="7" ht="46" customHeight="1">
      <x:c r="A7" s="125" t="inlineStr">
        <x:is>
          <x:t xml:space="preserve">보스 상태이상 면역</x:t>
        </x:is>
      </x:c>
      <x:c r="B7" s="125" t="inlineStr">
        <x:is>
          <x:t xml:space="preserve">PASS / runtimeErrors 0</x:t>
        </x:is>
      </x:c>
      <x:c r="C7" s="125" t="inlineStr">
        <x:is>
          <x:t xml:space="preserve">DefenseGame_BossStatusImmunitySmoke.json</x:t>
        </x:is>
      </x:c>
      <x:c r="D7" s="132" t="inlineStr">
        <x:is>
          <x:t xml:space="preserve">정상</x:t>
        </x:is>
      </x:c>
      <x:c r="E7" s="125" t="inlineStr">
        <x:is>
          <x:t xml:space="preserve">제어·석화표현·도트 차단 / 직접피해 허용</x:t>
        </x:is>
      </x:c>
      <x:c r="F7" s="125" t="inlineStr">
        <x:is>
          <x:t xml:space="preserve">Boss</x:t>
        </x:is>
      </x:c>
    </x:row>
    <x:row r="8" ht="46" customHeight="1">
      <x:c r="A8" s="124" t="inlineStr">
        <x:is>
          <x:t xml:space="preserve">인간형 3전략 5판</x:t>
        </x:is>
      </x:c>
      <x:c r="B8" s="124" t="inlineStr">
        <x:is>
          <x:t xml:space="preserve">R10 4/5 (80%)</x:t>
        </x:is>
      </x:c>
      <x:c r="C8" s="124" t="inlineStr">
        <x:is>
          <x:t xml:space="preserve">DefenseGame_Playtest5_Human3.json</x:t>
        </x:is>
      </x:c>
      <x:c r="D8" s="131" t="inlineStr">
        <x:is>
          <x:t xml:space="preserve">목표 근접</x:t>
        </x:is>
      </x:c>
      <x:c r="E8" s="124" t="inlineStr">
        <x:is>
          <x:t xml:space="preserve">5판은 20% 단위라 65~75%를 정확히 표현할 수 없음</x:t>
        </x:is>
      </x:c>
      <x:c r="F8" s="124" t="inlineStr">
        <x:is>
          <x:t xml:space="preserve">summon-heavy / balanced / shop-save</x:t>
        </x:is>
      </x:c>
    </x:row>
    <x:row r="9" ht="46" customHeight="1">
      <x:c r="A9" s="125" t="inlineStr">
        <x:is>
          <x:t xml:space="preserve">소형 상점 일정</x:t>
        </x:is>
      </x:c>
      <x:c r="B9" s="125" t="inlineStr">
        <x:is>
          <x:t xml:space="preserve">R3 + 8R 단일 스케줄</x:t>
        </x:is>
      </x:c>
      <x:c r="C9" s="125" t="inlineStr">
        <x:is>
          <x:t xml:space="preserve">RunShopSystem.cs</x:t>
        </x:is>
      </x:c>
      <x:c r="D9" s="132" t="inlineStr">
        <x:is>
          <x:t xml:space="preserve">적용</x:t>
        </x:is>
      </x:c>
      <x:c r="E9" s="125" t="inlineStr">
        <x:is>
          <x:t xml:space="preserve">별도 정규 상점 분기 비활성</x:t>
        </x:is>
      </x:c>
      <x:c r="F9" s="125" t="inlineStr">
        <x:is>
          <x:t xml:space="preserve">R3·11·19·27·35</x:t>
        </x:is>
      </x:c>
    </x:row>
    <x:row r="10" ht="62" customHeight="1">
      <x:c r="A10" s="124" t="inlineStr">
        <x:is>
          <x:t xml:space="preserve">모바일 성능</x:t>
        </x:is>
      </x:c>
      <x:c r="B10" s="124" t="inlineStr">
        <x:is>
          <x:t xml:space="preserve">최종 APK 설치 PASS / 59.85fps</x:t>
        </x:is>
      </x:c>
      <x:c r="C10" s="124" t="inlineStr">
        <x:is>
          <x:t xml:space="preserve">AndroidBuild_MetaRoot_20260717.log / SurfaceFlinger</x:t>
        </x:is>
      </x:c>
      <x:c r="D10" s="131" t="inlineStr">
        <x:is>
          <x:t xml:space="preserve">정상</x:t>
        </x:is>
      </x:c>
      <x:c r="E10" s="124" t="inlineStr">
        <x:is>
          <x:t xml:space="preserve">p95 17.0ms, &gt;20ms 0, PSS 671.6MB, Thermal 0</x:t>
        </x:is>
      </x:c>
      <x:c r="F10" s="124" t="inlineStr">
        <x:is>
          <x:t xml:space="preserve">Galaxy Z Flip 4</x:t>
        </x:is>
      </x:c>
    </x:row>
    <x:row r="11" ht="62" customHeight="1">
      <x:c r="A11" s="133" t="inlineStr">
        <x:is>
          <x:t xml:space="preserve">동시사망 정책</x:t>
        </x:is>
      </x:c>
      <x:c r="B11" s="133" t="inlineStr">
        <x:is>
          <x:t xml:space="preserve">PASS</x:t>
        </x:is>
      </x:c>
      <x:c r="C11" s="133" t="inlineStr">
        <x:is>
          <x:t xml:space="preserve">DefenseGame_PlayModeSmoke.json</x:t>
        </x:is>
      </x:c>
      <x:c r="D11" s="133" t="inlineStr">
        <x:is>
          <x:t xml:space="preserve">정상</x:t>
        </x:is>
      </x:c>
      <x:c r="E11" s="133" t="inlineStr">
        <x:is>
          <x:t xml:space="preserve">마지막 적 사망 확정 시 HP 1 승리 / 단순 누수 패배</x:t>
        </x:is>
      </x:c>
      <x:c r="F11" s="133" t="inlineStr">
        <x:is>
          <x:t xml:space="preserve">정적 정책 회귀</x:t>
        </x:is>
      </x:c>
    </x:row>
    <x:row r="12" ht="62" customHeight="1">
      <x:c r="A12" s="133" t="inlineStr">
        <x:is>
          <x:t xml:space="preserve">hero_32 시그니처</x:t>
        </x:is>
      </x:c>
      <x:c r="B12" s="133" t="inlineStr">
        <x:is>
          <x:t xml:space="preserve">PASS</x:t>
        </x:is>
      </x:c>
      <x:c r="C12" s="133" t="inlineStr">
        <x:is>
          <x:t xml:space="preserve">DefenseGame_PlayModeSmoke.json</x:t>
        </x:is>
      </x:c>
      <x:c r="D12" s="133" t="inlineStr">
        <x:is>
          <x:t xml:space="preserve">정상</x:t>
        </x:is>
      </x:c>
      <x:c r="E12" s="133" t="inlineStr">
        <x:is>
          <x:t xml:space="preserve">DamageSlow·220%·35%·4초</x:t>
        </x:is>
      </x:c>
      <x:c r="F12" s="133" t="inlineStr">
        <x:is>
          <x:t xml:space="preserve">스킬 정의 회귀</x:t>
        </x:is>
      </x:c>
    </x:row>
  </x:sheetData>
  <x:mergeCells>
    <x:mergeCell ref="A1:F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8" customWidth="1"/>
    <x:col min="3" max="3" width="30" customWidth="1"/>
    <x:col min="4" max="4" width="33" customWidth="1"/>
    <x:col min="5" max="5" width="25" customWidth="1"/>
    <x:col min="6" max="6" width="23" customWidth="1"/>
    <x:col min="7" max="7" width="40" customWidth="1"/>
    <x:col min="8" max="8" width="42" customWidth="1"/>
  </x:cols>
  <x:sheetData>
    <x:row r="1" ht="34" customHeight="1">
      <x:c r="A1" s="140" t="inlineStr">
        <x:is>
          <x:t xml:space="preserve">상용화 성장 루프 · 허들 / 무료 획득 / 프리미엄 가속</x:t>
        </x:is>
      </x:c>
    </x:row>
    <x:row r="2" ht="24" customHeight="1">
      <x:c r="A2" s="144" t="str">
        <x:v>2026-08-06 정책 동기화 · 서비스 모드는 보유 유닛만 소환, 무료도 얏찌/패스로 상위등급 접근, 결제는 확정성과 성장 속도 단축</x:v>
      </x:c>
    </x:row>
    <x:row r="4" ht="26" customHeight="1">
      <x:c r="A4" s="161" t="inlineStr">
        <x:is>
          <x:t xml:space="preserve">라운드</x:t>
        </x:is>
      </x:c>
      <x:c r="B4" s="161" t="inlineStr">
        <x:is>
          <x:t xml:space="preserve">단계</x:t>
        </x:is>
      </x:c>
      <x:c r="C4" s="161" t="inlineStr">
        <x:is>
          <x:t xml:space="preserve">일반 HP</x:t>
        </x:is>
      </x:c>
      <x:c r="D4" s="161" t="inlineStr">
        <x:is>
          <x:t xml:space="preserve">보스 HP</x:t>
        </x:is>
      </x:c>
      <x:c r="E4" s="161" t="inlineStr">
        <x:is>
          <x:t xml:space="preserve">공격력</x:t>
        </x:is>
      </x:c>
      <x:c r="F4" s="161" t="inlineStr">
        <x:is>
          <x:t xml:space="preserve">수량</x:t>
        </x:is>
      </x:c>
      <x:c r="G4" s="161" t="inlineStr">
        <x:is>
          <x:t xml:space="preserve">스폰 간격</x:t>
        </x:is>
      </x:c>
      <x:c r="H4" s="161" t="inlineStr">
        <x:is>
          <x:t xml:space="preserve">의도 / 플레이 감각</x:t>
        </x:is>
      </x:c>
    </x:row>
    <x:row r="5" ht="30" customHeight="1">
      <x:c r="A5" s="171" t="inlineStr">
        <x:is>
          <x:t xml:space="preserve">R18~19</x:t>
        </x:is>
      </x:c>
      <x:c r="B5" s="171" t="inlineStr">
        <x:is>
          <x:t xml:space="preserve">허들 전 압박</x:t>
        </x:is>
      </x:c>
      <x:c r="C5" s="183" t="n">
        <x:v>1.05</x:v>
      </x:c>
      <x:c r="D5" s="183" t="n">
        <x:v>1.05</x:v>
      </x:c>
      <x:c r="E5" s="183" t="n">
        <x:v>1.03</x:v>
      </x:c>
      <x:c r="F5" s="183" t="n">
        <x:v>1.06</x:v>
      </x:c>
      <x:c r="G5" s="183" t="n">
        <x:v>0.96</x:v>
      </x:c>
      <x:c r="H5" s="173" t="inlineStr">
        <x:is>
          <x:t xml:space="preserve">R20 진입 전 덱·배치 부족을 미리 경고</x:t>
        </x:is>
      </x:c>
    </x:row>
    <x:row r="6" ht="30" customHeight="1">
      <x:c r="A6" s="174" t="inlineStr">
        <x:is>
          <x:t xml:space="preserve">R20</x:t>
        </x:is>
      </x:c>
      <x:c r="B6" s="174" t="inlineStr">
        <x:is>
          <x:t xml:space="preserve">성장 허들</x:t>
        </x:is>
      </x:c>
      <x:c r="C6" s="184" t="n">
        <x:v>1.1</x:v>
      </x:c>
      <x:c r="D6" s="184" t="n">
        <x:v>1.2</x:v>
      </x:c>
      <x:c r="E6" s="184" t="n">
        <x:v>1.1</x:v>
      </x:c>
      <x:c r="F6" s="184" t="n">
        <x:v>1.08</x:v>
      </x:c>
      <x:c r="G6" s="184" t="n">
        <x:v>0.9399999999999999</x:v>
      </x:c>
      <x:c r="H6" s="176" t="inlineStr">
        <x:is>
          <x:t xml:space="preserve">첫 상용화 관문. 아웃게임 카드 성장과 인게임 판단을 함께 요구</x:t>
        </x:is>
      </x:c>
    </x:row>
    <x:row r="7" ht="30" customHeight="1">
      <x:c r="A7" s="177" t="inlineStr">
        <x:is>
          <x:t xml:space="preserve">R21~23</x:t>
        </x:is>
      </x:c>
      <x:c r="B7" s="177" t="inlineStr">
        <x:is>
          <x:t xml:space="preserve">돌파 보너스</x:t>
        </x:is>
      </x:c>
      <x:c r="C7" s="185" t="n">
        <x:v>0.82</x:v>
      </x:c>
      <x:c r="D7" s="185" t="n">
        <x:v>0.82</x:v>
      </x:c>
      <x:c r="E7" s="185" t="n">
        <x:v>0.9</x:v>
      </x:c>
      <x:c r="F7" s="185" t="n">
        <x:v>0.86</x:v>
      </x:c>
      <x:c r="G7" s="185" t="n">
        <x:v>1.12</x:v>
      </x:c>
      <x:c r="H7" s="179" t="inlineStr">
        <x:is>
          <x:t xml:space="preserve">허들 돌파 보상을 즉시 체감하는 완화 구간</x:t>
        </x:is>
      </x:c>
    </x:row>
    <x:row r="8" ht="30" customHeight="1">
      <x:c r="A8" s="171" t="inlineStr">
        <x:is>
          <x:t xml:space="preserve">R28~29</x:t>
        </x:is>
      </x:c>
      <x:c r="B8" s="171" t="inlineStr">
        <x:is>
          <x:t xml:space="preserve">허들 전 압박</x:t>
        </x:is>
      </x:c>
      <x:c r="C8" s="183" t="n">
        <x:v>1.06</x:v>
      </x:c>
      <x:c r="D8" s="183" t="n">
        <x:v>1.06</x:v>
      </x:c>
      <x:c r="E8" s="183" t="n">
        <x:v>1.04</x:v>
      </x:c>
      <x:c r="F8" s="183" t="n">
        <x:v>1.06</x:v>
      </x:c>
      <x:c r="G8" s="183" t="n">
        <x:v>0.96</x:v>
      </x:c>
      <x:c r="H8" s="173" t="inlineStr">
        <x:is>
          <x:t xml:space="preserve">두 번째 관문 예고</x:t>
        </x:is>
      </x:c>
    </x:row>
    <x:row r="9" ht="30" customHeight="1">
      <x:c r="A9" s="174" t="inlineStr">
        <x:is>
          <x:t xml:space="preserve">R30</x:t>
        </x:is>
      </x:c>
      <x:c r="B9" s="174" t="inlineStr">
        <x:is>
          <x:t xml:space="preserve">성장 허들</x:t>
        </x:is>
      </x:c>
      <x:c r="C9" s="184" t="n">
        <x:v>1.14</x:v>
      </x:c>
      <x:c r="D9" s="184" t="n">
        <x:v>1.24</x:v>
      </x:c>
      <x:c r="E9" s="184" t="n">
        <x:v>1.125</x:v>
      </x:c>
      <x:c r="F9" s="184" t="n">
        <x:v>1.08</x:v>
      </x:c>
      <x:c r="G9" s="184" t="n">
        <x:v>0.9399999999999999</x:v>
      </x:c>
      <x:c r="H9" s="176" t="inlineStr">
        <x:is>
          <x:t xml:space="preserve">두 번째 성장 체크</x:t>
        </x:is>
      </x:c>
    </x:row>
    <x:row r="10" ht="30" customHeight="1">
      <x:c r="A10" s="177" t="inlineStr">
        <x:is>
          <x:t xml:space="preserve">R31~33</x:t>
        </x:is>
      </x:c>
      <x:c r="B10" s="177" t="inlineStr">
        <x:is>
          <x:t xml:space="preserve">돌파 보너스</x:t>
        </x:is>
      </x:c>
      <x:c r="C10" s="185" t="n">
        <x:v>0.83</x:v>
      </x:c>
      <x:c r="D10" s="185" t="n">
        <x:v>0.83</x:v>
      </x:c>
      <x:c r="E10" s="185" t="n">
        <x:v>0.91</x:v>
      </x:c>
      <x:c r="F10" s="185" t="n">
        <x:v>0.86</x:v>
      </x:c>
      <x:c r="G10" s="185" t="n">
        <x:v>1.12</x:v>
      </x:c>
      <x:c r="H10" s="179" t="inlineStr">
        <x:is>
          <x:t xml:space="preserve">돌파 직후 3라운드 완화</x:t>
        </x:is>
      </x:c>
    </x:row>
    <x:row r="11" ht="30" customHeight="1">
      <x:c r="A11" s="171" t="inlineStr">
        <x:is>
          <x:t xml:space="preserve">R38~39</x:t>
        </x:is>
      </x:c>
      <x:c r="B11" s="171" t="inlineStr">
        <x:is>
          <x:t xml:space="preserve">허들 전 압박</x:t>
        </x:is>
      </x:c>
      <x:c r="C11" s="183" t="n">
        <x:v>1.07</x:v>
      </x:c>
      <x:c r="D11" s="183" t="n">
        <x:v>1.07</x:v>
      </x:c>
      <x:c r="E11" s="183" t="n">
        <x:v>1.05</x:v>
      </x:c>
      <x:c r="F11" s="183" t="n">
        <x:v>1.06</x:v>
      </x:c>
      <x:c r="G11" s="183" t="n">
        <x:v>0.96</x:v>
      </x:c>
      <x:c r="H11" s="173" t="inlineStr">
        <x:is>
          <x:t xml:space="preserve">세 번째 관문 예고</x:t>
        </x:is>
      </x:c>
    </x:row>
    <x:row r="12" ht="30" customHeight="1">
      <x:c r="A12" s="174" t="inlineStr">
        <x:is>
          <x:t xml:space="preserve">R40</x:t>
        </x:is>
      </x:c>
      <x:c r="B12" s="174" t="inlineStr">
        <x:is>
          <x:t xml:space="preserve">성장 허들</x:t>
        </x:is>
      </x:c>
      <x:c r="C12" s="184" t="n">
        <x:v>1.18</x:v>
      </x:c>
      <x:c r="D12" s="184" t="n">
        <x:v>1.28</x:v>
      </x:c>
      <x:c r="E12" s="184" t="n">
        <x:v>1.15</x:v>
      </x:c>
      <x:c r="F12" s="184" t="n">
        <x:v>1.08</x:v>
      </x:c>
      <x:c r="G12" s="184" t="n">
        <x:v>0.9399999999999999</x:v>
      </x:c>
      <x:c r="H12" s="176" t="inlineStr">
        <x:is>
          <x:t xml:space="preserve">세 번째 성장 체크</x:t>
        </x:is>
      </x:c>
    </x:row>
    <x:row r="13" ht="30" customHeight="1">
      <x:c r="A13" s="177" t="inlineStr">
        <x:is>
          <x:t xml:space="preserve">R41~43</x:t>
        </x:is>
      </x:c>
      <x:c r="B13" s="177" t="inlineStr">
        <x:is>
          <x:t xml:space="preserve">돌파 보너스</x:t>
        </x:is>
      </x:c>
      <x:c r="C13" s="185" t="n">
        <x:v>0.84</x:v>
      </x:c>
      <x:c r="D13" s="185" t="n">
        <x:v>0.84</x:v>
      </x:c>
      <x:c r="E13" s="185" t="n">
        <x:v>0.92</x:v>
      </x:c>
      <x:c r="F13" s="185" t="n">
        <x:v>0.86</x:v>
      </x:c>
      <x:c r="G13" s="185" t="n">
        <x:v>1.12</x:v>
      </x:c>
      <x:c r="H13" s="179" t="inlineStr">
        <x:is>
          <x:t xml:space="preserve">돌파 직후 3라운드 완화</x:t>
        </x:is>
      </x:c>
    </x:row>
    <x:row r="14" ht="30" customHeight="1">
      <x:c r="A14" s="171" t="inlineStr">
        <x:is>
          <x:t xml:space="preserve">R48~49</x:t>
        </x:is>
      </x:c>
      <x:c r="B14" s="171" t="inlineStr">
        <x:is>
          <x:t xml:space="preserve">허들 전 압박</x:t>
        </x:is>
      </x:c>
      <x:c r="C14" s="183" t="n">
        <x:v>1.08</x:v>
      </x:c>
      <x:c r="D14" s="183" t="n">
        <x:v>1.08</x:v>
      </x:c>
      <x:c r="E14" s="183" t="n">
        <x:v>1.06</x:v>
      </x:c>
      <x:c r="F14" s="183" t="n">
        <x:v>1.06</x:v>
      </x:c>
      <x:c r="G14" s="183" t="n">
        <x:v>0.96</x:v>
      </x:c>
      <x:c r="H14" s="173" t="inlineStr">
        <x:is>
          <x:t xml:space="preserve">R50 장기 목표 예고</x:t>
        </x:is>
      </x:c>
    </x:row>
    <x:row r="15" ht="30" customHeight="1">
      <x:c r="A15" s="174" t="inlineStr">
        <x:is>
          <x:t xml:space="preserve">R50</x:t>
        </x:is>
      </x:c>
      <x:c r="B15" s="174" t="inlineStr">
        <x:is>
          <x:t xml:space="preserve">성장 허들</x:t>
        </x:is>
      </x:c>
      <x:c r="C15" s="184" t="n">
        <x:v>1.22</x:v>
      </x:c>
      <x:c r="D15" s="184" t="n">
        <x:v>1.32</x:v>
      </x:c>
      <x:c r="E15" s="184" t="n">
        <x:v>1.175</x:v>
      </x:c>
      <x:c r="F15" s="184" t="n">
        <x:v>1.08</x:v>
      </x:c>
      <x:c r="G15" s="184" t="n">
        <x:v>0.9399999999999999</x:v>
      </x:c>
      <x:c r="H15" s="176" t="inlineStr">
        <x:is>
          <x:t xml:space="preserve">첫 장기 성장 사이클 마감 관문</x:t>
        </x:is>
      </x:c>
    </x:row>
    <x:row r="16" ht="30" customHeight="1">
      <x:c r="A16" s="177" t="inlineStr">
        <x:is>
          <x:t xml:space="preserve">R51~53</x:t>
        </x:is>
      </x:c>
      <x:c r="B16" s="177" t="inlineStr">
        <x:is>
          <x:t xml:space="preserve">돌파 보너스</x:t>
        </x:is>
      </x:c>
      <x:c r="C16" s="185" t="n">
        <x:v>0.85</x:v>
      </x:c>
      <x:c r="D16" s="185" t="n">
        <x:v>0.85</x:v>
      </x:c>
      <x:c r="E16" s="185" t="n">
        <x:v>0.93</x:v>
      </x:c>
      <x:c r="F16" s="185" t="n">
        <x:v>0.86</x:v>
      </x:c>
      <x:c r="G16" s="185" t="n">
        <x:v>1.12</x:v>
      </x:c>
      <x:c r="H16" s="179" t="inlineStr">
        <x:is>
          <x:t xml:space="preserve">R50 돌파 후 보상 체감</x:t>
        </x:is>
      </x:c>
    </x:row>
    <x:row r="18" ht="26" customHeight="1">
      <x:c r="A18" s="161" t="inlineStr">
        <x:is>
          <x:t xml:space="preserve">구분</x:t>
        </x:is>
      </x:c>
      <x:c r="B18" s="161" t="inlineStr">
        <x:is>
          <x:t xml:space="preserve">무료 플레이 상자</x:t>
        </x:is>
      </x:c>
      <x:c r="C18" s="161" t="inlineStr">
        <x:is>
          <x:t xml:space="preserve">프리미엄 상자</x:t>
        </x:is>
      </x:c>
      <x:c r="D18" s="161" t="inlineStr">
        <x:is>
          <x:t xml:space="preserve">서비스 원칙</x:t>
        </x:is>
      </x:c>
      <x:c r="E18" s="161" t="inlineStr">
        <x:is>
          <x:t xml:space="preserve">코드 / 설정</x:t>
        </x:is>
      </x:c>
    </x:row>
    <x:row r="19" ht="38" customHeight="1">
      <x:c r="A19" s="238" t="str">
        <x:v>유닛 풀</x:v>
      </x:c>
      <x:c r="B19" s="238" t="str">
        <x:v>계정 인벤 보유 유닛만 소환</x:v>
      </x:c>
      <x:c r="C19" s="238" t="str">
        <x:v>상점은 일반~전설 획득 가속</x:v>
      </x:c>
      <x:c r="D19" s="238" t="str">
        <x:v>미보유 소환 금지, 신화/초월은 별도 채널</x:v>
      </x:c>
      <x:c r="E19" s="238" t="str">
        <x:v>서비스_획득설계_0806</x:v>
      </x:c>
    </x:row>
    <x:row r="20" ht="38" customHeight="1">
      <x:c r="A20" s="238" t="str">
        <x:v>획득 재화</x:v>
      </x:c>
      <x:c r="B20" s="238" t="str">
        <x:v>전투·보스·최초 클리어·패스·얏찌</x:v>
      </x:c>
      <x:c r="C20" s="238" t="str">
        <x:v>다이아/캐시 상품</x:v>
      </x:c>
      <x:c r="D20" s="238" t="str">
        <x:v>티켓과 상자는 동일 확률</x:v>
      </x:c>
      <x:c r="E20" s="238" t="str">
        <x:v>서비스_획득설계_0806</x:v>
      </x:c>
    </x:row>
    <x:row r="21" ht="38" customHeight="1">
      <x:c r="A21" s="238" t="str">
        <x:v>신규 계정</x:v>
      </x:c>
      <x:c r="B21" s="238" t="str">
        <x:v>명함 1장 해금 + 무료 진입</x:v>
      </x:c>
      <x:c r="C21" s="238" t="str">
        <x:v>초기 다이아/패키지</x:v>
      </x:c>
      <x:c r="D21" s="238" t="str">
        <x:v>초기 보유 풀 튜토리얼 검증</x:v>
      </x:c>
      <x:c r="E21" s="238" t="str">
        <x:v>OutgameProgressionConfig</x:v>
      </x:c>
    </x:row>
    <x:row r="22" ht="38" customHeight="1">
      <x:c r="A22" s="238" t="str">
        <x:v>기본 확률</x:v>
      </x:c>
      <x:c r="B22" s="238" t="str">
        <x:v>얏찌 보상군 70/22/8 초안</x:v>
      </x:c>
      <x:c r="C22" s="238" t="str">
        <x:v>상점 카드 상자 별도</x:v>
      </x:c>
      <x:c r="D22" s="238" t="str">
        <x:v>배수는 수량만, 희귀도 확률 불변</x:v>
      </x:c>
      <x:c r="E22" s="238" t="str">
        <x:v>얏찌_제작명세_0806</x:v>
      </x:c>
    </x:row>
    <x:row r="23" ht="38" customHeight="1">
      <x:c r="A23" s="238" t="str">
        <x:v>천장</x:v>
      </x:c>
      <x:c r="B23" s="238" t="str">
        <x:v>얏찌 재굴림 천장 없음</x:v>
      </x:c>
      <x:c r="C23" s="238" t="str">
        <x:v>상점 카드 상자 천장은 별도</x:v>
      </x:c>
      <x:c r="D23" s="238" t="str">
        <x:v>티켓+100G 고정으로 경제 제어</x:v>
      </x:c>
      <x:c r="E23" s="238" t="str">
        <x:v>YatzyConfig</x:v>
      </x:c>
    </x:row>
    <x:row r="24" ht="38" customHeight="1">
      <x:c r="A24" s="238" t="str">
        <x:v>위시</x:v>
      </x:c>
      <x:c r="B24" s="238" t="str">
        <x:v>보유 풀 전체 + 신규/개인신규 가중치</x:v>
      </x:c>
      <x:c r="C24" s="238" t="str">
        <x:v>상점 위시 별도</x:v>
      </x:c>
      <x:c r="D24" s="238" t="str">
        <x:v>목표 점유율 방식</x:v>
      </x:c>
      <x:c r="E24" s="238" t="str">
        <x:v>소환가중치_서비스</x:v>
      </x:c>
    </x:row>
    <x:row r="25" ht="38" customHeight="1">
      <x:c r="A25" s="238" t="str">
        <x:v>전투 진행도</x:v>
      </x:c>
      <x:c r="B25" s="238" t="str">
        <x:v>일반 계정 골드 + 최초 클리어 티켓</x:v>
      </x:c>
      <x:c r="C25" s="238" t="str">
        <x:v>패스/티켓 구매</x:v>
      </x:c>
      <x:c r="D25" s="238" t="str">
        <x:v>반복 클리어 티켓 없음</x:v>
      </x:c>
      <x:c r="E25" s="238" t="str">
        <x:v>FirstClearTicketConfig</x:v>
      </x:c>
    </x:row>
    <x:row r="26" ht="38" customHeight="1">
      <x:c r="A26" s="238" t="str">
        <x:v>보스·허들</x:v>
      </x:c>
      <x:c r="B26" s="238" t="str">
        <x:v>보스 다이아·주요 보스 상향</x:v>
      </x:c>
      <x:c r="C26" s="238" t="str">
        <x:v>성장 패키지/패스</x:v>
      </x:c>
      <x:c r="D26" s="238" t="str">
        <x:v>R20/30/40/50 허들 유지</x:v>
      </x:c>
      <x:c r="E26" s="238" t="str">
        <x:v>StageRewardConfig</x:v>
      </x:c>
    </x:row>
    <x:row r="27" ht="38" customHeight="1">
      <x:c r="A27" s="238" t="str">
        <x:v>실패 지원</x:v>
      </x:c>
      <x:c r="B27" s="238" t="str">
        <x:v>기존 첫 패배 지원 검토</x:v>
      </x:c>
      <x:c r="C27" s="238" t="str">
        <x:v>-</x:v>
      </x:c>
      <x:c r="D27" s="238" t="str">
        <x:v>상위 획득 설계와 중복 검증</x:v>
      </x:c>
      <x:c r="E27" s="238" t="str">
        <x:v>CommercialHurdleConfig</x:v>
      </x:c>
    </x:row>
    <x:row r="28" ht="38" customHeight="1">
      <x:c r="A28" s="238" t="str">
        <x:v>얏찌 연결</x:v>
      </x:c>
      <x:c r="B28" s="238" t="str">
        <x:v>티켓 1장→배수 상자 1개</x:v>
      </x:c>
      <x:c r="C28" s="238" t="str">
        <x:v>티켓 다이아/캐시 구매</x:v>
      </x:c>
      <x:c r="D28" s="238" t="str">
        <x:v>100G·20/50DIA·111~666 ×1~6</x:v>
      </x:c>
      <x:c r="E28" s="238" t="str">
        <x:v>얏찌_제작명세_0806</x:v>
      </x:c>
    </x:row>
    <x:row r="29" ht="38" customHeight="1">
      <x:c r="A29" s="238" t="str">
        <x:v>유닛 성장</x:v>
      </x:c>
      <x:c r="B29" s="238" t="str">
        <x:v>명함 1장 후 조각 성장</x:v>
      </x:c>
      <x:c r="C29" s="238" t="str">
        <x:v>선택 조각/패키지 가속</x:v>
      </x:c>
      <x:c r="D29" s="238" t="str">
        <x:v>신화Lv1≈중레벨전설, 초월Lv1≈중레벨신화 목표</x:v>
      </x:c>
      <x:c r="E29" s="238" t="str">
        <x:v>UnitShardGrowthTable</x:v>
      </x:c>
    </x:row>
    <x:row r="31" ht="26" customHeight="1">
      <x:c r="A31" s="161" t="inlineStr">
        <x:is>
          <x:t xml:space="preserve">첫 진행 예시</x:t>
        </x:is>
      </x:c>
      <x:c r="B31" s="161" t="inlineStr">
        <x:is>
          <x:t xml:space="preserve">기본 진행도</x:t>
        </x:is>
      </x:c>
      <x:c r="C31" s="161" t="inlineStr">
        <x:is>
          <x:t xml:space="preserve">보스 보너스</x:t>
        </x:is>
      </x:c>
      <x:c r="D31" s="161" t="inlineStr">
        <x:is>
          <x:t xml:space="preserve">첫 허들 보너스</x:t>
        </x:is>
      </x:c>
      <x:c r="E31" s="161" t="inlineStr">
        <x:is>
          <x:t xml:space="preserve">합계</x:t>
        </x:is>
      </x:c>
      <x:c r="F31" s="161" t="inlineStr">
        <x:is>
          <x:t xml:space="preserve">누적</x:t>
        </x:is>
      </x:c>
      <x:c r="G31" s="161" t="inlineStr">
        <x:is>
          <x:t xml:space="preserve">상자 획득</x:t>
        </x:is>
      </x:c>
      <x:c r="H31" s="161" t="inlineStr">
        <x:is>
          <x:t xml:space="preserve">잔여 게이지</x:t>
        </x:is>
      </x:c>
    </x:row>
    <x:row r="32" ht="22" customHeight="1">
      <x:c r="A32" s="186" t="n">
        <x:v>1</x:v>
      </x:c>
      <x:c r="B32" s="187" t="n">
        <x:f>8+QUOTIENT(MIN(50,A32),4)+3</x:f>
        <x:v>11</x:v>
      </x:c>
      <x:c r="C32" s="187" t="n">
        <x:f>IF(MOD(A32,10)=0,25,0)</x:f>
        <x:v>0</x:v>
      </x:c>
      <x:c r="D32" s="187" t="n">
        <x:f>IF(AND(A32&gt;=20,MOD(A32,10)=0),50,0)</x:f>
        <x:v>0</x:v>
      </x:c>
      <x:c r="E32" s="187" t="n">
        <x:f>SUM(B32:D32)</x:f>
        <x:v>11</x:v>
      </x:c>
      <x:c r="F32" s="187" t="n">
        <x:f>SUM($E$32:E32)</x:f>
        <x:v>11</x:v>
      </x:c>
      <x:c r="G32" s="187" t="n">
        <x:f>QUOTIENT(F32,100)</x:f>
        <x:v>0</x:v>
      </x:c>
      <x:c r="H32" s="187" t="n">
        <x:f>MOD(F32,100)</x:f>
        <x:v>11</x:v>
      </x:c>
    </x:row>
    <x:row r="33" ht="22" customHeight="1">
      <x:c r="A33" s="186" t="n">
        <x:v>2</x:v>
      </x:c>
      <x:c r="B33" s="187" t="n">
        <x:f>8+QUOTIENT(MIN(50,A33),4)+3</x:f>
        <x:v>11</x:v>
      </x:c>
      <x:c r="C33" s="187" t="n">
        <x:f>IF(MOD(A33,10)=0,25,0)</x:f>
        <x:v>0</x:v>
      </x:c>
      <x:c r="D33" s="187" t="n">
        <x:f>IF(AND(A33&gt;=20,MOD(A33,10)=0),50,0)</x:f>
        <x:v>0</x:v>
      </x:c>
      <x:c r="E33" s="187" t="n">
        <x:f>SUM(B33:D33)</x:f>
        <x:v>11</x:v>
      </x:c>
      <x:c r="F33" s="187" t="n">
        <x:f>SUM($E$32:E33)</x:f>
        <x:v>22</x:v>
      </x:c>
      <x:c r="G33" s="187" t="n">
        <x:f>QUOTIENT(F33,100)</x:f>
        <x:v>0</x:v>
      </x:c>
      <x:c r="H33" s="187" t="n">
        <x:f>MOD(F33,100)</x:f>
        <x:v>22</x:v>
      </x:c>
    </x:row>
    <x:row r="34" ht="22" customHeight="1">
      <x:c r="A34" s="186" t="n">
        <x:v>3</x:v>
      </x:c>
      <x:c r="B34" s="187" t="n">
        <x:f>8+QUOTIENT(MIN(50,A34),4)+3</x:f>
        <x:v>11</x:v>
      </x:c>
      <x:c r="C34" s="187" t="n">
        <x:f>IF(MOD(A34,10)=0,25,0)</x:f>
        <x:v>0</x:v>
      </x:c>
      <x:c r="D34" s="187" t="n">
        <x:f>IF(AND(A34&gt;=20,MOD(A34,10)=0),50,0)</x:f>
        <x:v>0</x:v>
      </x:c>
      <x:c r="E34" s="187" t="n">
        <x:f>SUM(B34:D34)</x:f>
        <x:v>11</x:v>
      </x:c>
      <x:c r="F34" s="187" t="n">
        <x:f>SUM($E$32:E34)</x:f>
        <x:v>33</x:v>
      </x:c>
      <x:c r="G34" s="187" t="n">
        <x:f>QUOTIENT(F34,100)</x:f>
        <x:v>0</x:v>
      </x:c>
      <x:c r="H34" s="187" t="n">
        <x:f>MOD(F34,100)</x:f>
        <x:v>33</x:v>
      </x:c>
    </x:row>
    <x:row r="35" ht="22" customHeight="1">
      <x:c r="A35" s="186" t="n">
        <x:v>4</x:v>
      </x:c>
      <x:c r="B35" s="187" t="n">
        <x:f>8+QUOTIENT(MIN(50,A35),4)+3</x:f>
        <x:v>12</x:v>
      </x:c>
      <x:c r="C35" s="187" t="n">
        <x:f>IF(MOD(A35,10)=0,25,0)</x:f>
        <x:v>0</x:v>
      </x:c>
      <x:c r="D35" s="187" t="n">
        <x:f>IF(AND(A35&gt;=20,MOD(A35,10)=0),50,0)</x:f>
        <x:v>0</x:v>
      </x:c>
      <x:c r="E35" s="187" t="n">
        <x:f>SUM(B35:D35)</x:f>
        <x:v>12</x:v>
      </x:c>
      <x:c r="F35" s="187" t="n">
        <x:f>SUM($E$32:E35)</x:f>
        <x:v>45</x:v>
      </x:c>
      <x:c r="G35" s="187" t="n">
        <x:f>QUOTIENT(F35,100)</x:f>
        <x:v>0</x:v>
      </x:c>
      <x:c r="H35" s="187" t="n">
        <x:f>MOD(F35,100)</x:f>
        <x:v>45</x:v>
      </x:c>
    </x:row>
    <x:row r="36" ht="22" customHeight="1">
      <x:c r="A36" s="186" t="n">
        <x:v>5</x:v>
      </x:c>
      <x:c r="B36" s="187" t="n">
        <x:f>8+QUOTIENT(MIN(50,A36),4)+3</x:f>
        <x:v>12</x:v>
      </x:c>
      <x:c r="C36" s="187" t="n">
        <x:f>IF(MOD(A36,10)=0,25,0)</x:f>
        <x:v>0</x:v>
      </x:c>
      <x:c r="D36" s="187" t="n">
        <x:f>IF(AND(A36&gt;=20,MOD(A36,10)=0),50,0)</x:f>
        <x:v>0</x:v>
      </x:c>
      <x:c r="E36" s="187" t="n">
        <x:f>SUM(B36:D36)</x:f>
        <x:v>12</x:v>
      </x:c>
      <x:c r="F36" s="187" t="n">
        <x:f>SUM($E$32:E36)</x:f>
        <x:v>57</x:v>
      </x:c>
      <x:c r="G36" s="187" t="n">
        <x:f>QUOTIENT(F36,100)</x:f>
        <x:v>0</x:v>
      </x:c>
      <x:c r="H36" s="187" t="n">
        <x:f>MOD(F36,100)</x:f>
        <x:v>57</x:v>
      </x:c>
    </x:row>
    <x:row r="37" ht="22" customHeight="1">
      <x:c r="A37" s="186" t="n">
        <x:v>6</x:v>
      </x:c>
      <x:c r="B37" s="187" t="n">
        <x:f>8+QUOTIENT(MIN(50,A37),4)+3</x:f>
        <x:v>12</x:v>
      </x:c>
      <x:c r="C37" s="187" t="n">
        <x:f>IF(MOD(A37,10)=0,25,0)</x:f>
        <x:v>0</x:v>
      </x:c>
      <x:c r="D37" s="187" t="n">
        <x:f>IF(AND(A37&gt;=20,MOD(A37,10)=0),50,0)</x:f>
        <x:v>0</x:v>
      </x:c>
      <x:c r="E37" s="187" t="n">
        <x:f>SUM(B37:D37)</x:f>
        <x:v>12</x:v>
      </x:c>
      <x:c r="F37" s="187" t="n">
        <x:f>SUM($E$32:E37)</x:f>
        <x:v>69</x:v>
      </x:c>
      <x:c r="G37" s="187" t="n">
        <x:f>QUOTIENT(F37,100)</x:f>
        <x:v>0</x:v>
      </x:c>
      <x:c r="H37" s="187" t="n">
        <x:f>MOD(F37,100)</x:f>
        <x:v>69</x:v>
      </x:c>
    </x:row>
    <x:row r="38" ht="22" customHeight="1">
      <x:c r="A38" s="186" t="n">
        <x:v>7</x:v>
      </x:c>
      <x:c r="B38" s="187" t="n">
        <x:f>8+QUOTIENT(MIN(50,A38),4)+3</x:f>
        <x:v>12</x:v>
      </x:c>
      <x:c r="C38" s="187" t="n">
        <x:f>IF(MOD(A38,10)=0,25,0)</x:f>
        <x:v>0</x:v>
      </x:c>
      <x:c r="D38" s="187" t="n">
        <x:f>IF(AND(A38&gt;=20,MOD(A38,10)=0),50,0)</x:f>
        <x:v>0</x:v>
      </x:c>
      <x:c r="E38" s="187" t="n">
        <x:f>SUM(B38:D38)</x:f>
        <x:v>12</x:v>
      </x:c>
      <x:c r="F38" s="187" t="n">
        <x:f>SUM($E$32:E38)</x:f>
        <x:v>81</x:v>
      </x:c>
      <x:c r="G38" s="187" t="n">
        <x:f>QUOTIENT(F38,100)</x:f>
        <x:v>0</x:v>
      </x:c>
      <x:c r="H38" s="187" t="n">
        <x:f>MOD(F38,100)</x:f>
        <x:v>81</x:v>
      </x:c>
    </x:row>
    <x:row r="39" ht="22" customHeight="1">
      <x:c r="A39" s="186" t="n">
        <x:v>8</x:v>
      </x:c>
      <x:c r="B39" s="187" t="n">
        <x:f>8+QUOTIENT(MIN(50,A39),4)+3</x:f>
        <x:v>13</x:v>
      </x:c>
      <x:c r="C39" s="187" t="n">
        <x:f>IF(MOD(A39,10)=0,25,0)</x:f>
        <x:v>0</x:v>
      </x:c>
      <x:c r="D39" s="187" t="n">
        <x:f>IF(AND(A39&gt;=20,MOD(A39,10)=0),50,0)</x:f>
        <x:v>0</x:v>
      </x:c>
      <x:c r="E39" s="187" t="n">
        <x:f>SUM(B39:D39)</x:f>
        <x:v>13</x:v>
      </x:c>
      <x:c r="F39" s="187" t="n">
        <x:f>SUM($E$32:E39)</x:f>
        <x:v>94</x:v>
      </x:c>
      <x:c r="G39" s="187" t="n">
        <x:f>QUOTIENT(F39,100)</x:f>
        <x:v>0</x:v>
      </x:c>
      <x:c r="H39" s="187" t="n">
        <x:f>MOD(F39,100)</x:f>
        <x:v>94</x:v>
      </x:c>
    </x:row>
    <x:row r="40" ht="22" customHeight="1">
      <x:c r="A40" s="186" t="n">
        <x:v>9</x:v>
      </x:c>
      <x:c r="B40" s="187" t="n">
        <x:f>8+QUOTIENT(MIN(50,A40),4)+3</x:f>
        <x:v>13</x:v>
      </x:c>
      <x:c r="C40" s="187" t="n">
        <x:f>IF(MOD(A40,10)=0,25,0)</x:f>
        <x:v>0</x:v>
      </x:c>
      <x:c r="D40" s="187" t="n">
        <x:f>IF(AND(A40&gt;=20,MOD(A40,10)=0),50,0)</x:f>
        <x:v>0</x:v>
      </x:c>
      <x:c r="E40" s="187" t="n">
        <x:f>SUM(B40:D40)</x:f>
        <x:v>13</x:v>
      </x:c>
      <x:c r="F40" s="187" t="n">
        <x:f>SUM($E$32:E40)</x:f>
        <x:v>107</x:v>
      </x:c>
      <x:c r="G40" s="187" t="n">
        <x:f>QUOTIENT(F40,100)</x:f>
        <x:v>1</x:v>
      </x:c>
      <x:c r="H40" s="187" t="n">
        <x:f>MOD(F40,100)</x:f>
        <x:v>7</x:v>
      </x:c>
    </x:row>
    <x:row r="41" ht="22" customHeight="1">
      <x:c r="A41" s="186" t="n">
        <x:v>10</x:v>
      </x:c>
      <x:c r="B41" s="187" t="n">
        <x:f>8+QUOTIENT(MIN(50,A41),4)+3</x:f>
        <x:v>13</x:v>
      </x:c>
      <x:c r="C41" s="187" t="n">
        <x:f>IF(MOD(A41,10)=0,25,0)</x:f>
        <x:v>25</x:v>
      </x:c>
      <x:c r="D41" s="187" t="n">
        <x:f>IF(AND(A41&gt;=20,MOD(A41,10)=0),50,0)</x:f>
        <x:v>0</x:v>
      </x:c>
      <x:c r="E41" s="187" t="n">
        <x:f>SUM(B41:D41)</x:f>
        <x:v>38</x:v>
      </x:c>
      <x:c r="F41" s="187" t="n">
        <x:f>SUM($E$32:E41)</x:f>
        <x:v>145</x:v>
      </x:c>
      <x:c r="G41" s="187" t="n">
        <x:f>QUOTIENT(F41,100)</x:f>
        <x:v>1</x:v>
      </x:c>
      <x:c r="H41" s="187" t="n">
        <x:f>MOD(F41,100)</x:f>
        <x:v>45</x:v>
      </x:c>
    </x:row>
    <x:row r="42" ht="22" customHeight="1">
      <x:c r="A42" s="186" t="n">
        <x:v>11</x:v>
      </x:c>
      <x:c r="B42" s="187" t="n">
        <x:f>8+QUOTIENT(MIN(50,A42),4)+3</x:f>
        <x:v>13</x:v>
      </x:c>
      <x:c r="C42" s="187" t="n">
        <x:f>IF(MOD(A42,10)=0,25,0)</x:f>
        <x:v>0</x:v>
      </x:c>
      <x:c r="D42" s="187" t="n">
        <x:f>IF(AND(A42&gt;=20,MOD(A42,10)=0),50,0)</x:f>
        <x:v>0</x:v>
      </x:c>
      <x:c r="E42" s="187" t="n">
        <x:f>SUM(B42:D42)</x:f>
        <x:v>13</x:v>
      </x:c>
      <x:c r="F42" s="187" t="n">
        <x:f>SUM($E$32:E42)</x:f>
        <x:v>158</x:v>
      </x:c>
      <x:c r="G42" s="187" t="n">
        <x:f>QUOTIENT(F42,100)</x:f>
        <x:v>1</x:v>
      </x:c>
      <x:c r="H42" s="187" t="n">
        <x:f>MOD(F42,100)</x:f>
        <x:v>58</x:v>
      </x:c>
    </x:row>
    <x:row r="43" ht="22" customHeight="1">
      <x:c r="A43" s="186" t="n">
        <x:v>12</x:v>
      </x:c>
      <x:c r="B43" s="187" t="n">
        <x:f>8+QUOTIENT(MIN(50,A43),4)+3</x:f>
        <x:v>14</x:v>
      </x:c>
      <x:c r="C43" s="187" t="n">
        <x:f>IF(MOD(A43,10)=0,25,0)</x:f>
        <x:v>0</x:v>
      </x:c>
      <x:c r="D43" s="187" t="n">
        <x:f>IF(AND(A43&gt;=20,MOD(A43,10)=0),50,0)</x:f>
        <x:v>0</x:v>
      </x:c>
      <x:c r="E43" s="187" t="n">
        <x:f>SUM(B43:D43)</x:f>
        <x:v>14</x:v>
      </x:c>
      <x:c r="F43" s="187" t="n">
        <x:f>SUM($E$32:E43)</x:f>
        <x:v>172</x:v>
      </x:c>
      <x:c r="G43" s="187" t="n">
        <x:f>QUOTIENT(F43,100)</x:f>
        <x:v>1</x:v>
      </x:c>
      <x:c r="H43" s="187" t="n">
        <x:f>MOD(F43,100)</x:f>
        <x:v>72</x:v>
      </x:c>
    </x:row>
    <x:row r="44" ht="22" customHeight="1">
      <x:c r="A44" s="186" t="n">
        <x:v>13</x:v>
      </x:c>
      <x:c r="B44" s="187" t="n">
        <x:f>8+QUOTIENT(MIN(50,A44),4)+3</x:f>
        <x:v>14</x:v>
      </x:c>
      <x:c r="C44" s="187" t="n">
        <x:f>IF(MOD(A44,10)=0,25,0)</x:f>
        <x:v>0</x:v>
      </x:c>
      <x:c r="D44" s="187" t="n">
        <x:f>IF(AND(A44&gt;=20,MOD(A44,10)=0),50,0)</x:f>
        <x:v>0</x:v>
      </x:c>
      <x:c r="E44" s="187" t="n">
        <x:f>SUM(B44:D44)</x:f>
        <x:v>14</x:v>
      </x:c>
      <x:c r="F44" s="187" t="n">
        <x:f>SUM($E$32:E44)</x:f>
        <x:v>186</x:v>
      </x:c>
      <x:c r="G44" s="187" t="n">
        <x:f>QUOTIENT(F44,100)</x:f>
        <x:v>1</x:v>
      </x:c>
      <x:c r="H44" s="187" t="n">
        <x:f>MOD(F44,100)</x:f>
        <x:v>86</x:v>
      </x:c>
    </x:row>
    <x:row r="45" ht="22" customHeight="1">
      <x:c r="A45" s="186" t="n">
        <x:v>14</x:v>
      </x:c>
      <x:c r="B45" s="187" t="n">
        <x:f>8+QUOTIENT(MIN(50,A45),4)+3</x:f>
        <x:v>14</x:v>
      </x:c>
      <x:c r="C45" s="187" t="n">
        <x:f>IF(MOD(A45,10)=0,25,0)</x:f>
        <x:v>0</x:v>
      </x:c>
      <x:c r="D45" s="187" t="n">
        <x:f>IF(AND(A45&gt;=20,MOD(A45,10)=0),50,0)</x:f>
        <x:v>0</x:v>
      </x:c>
      <x:c r="E45" s="187" t="n">
        <x:f>SUM(B45:D45)</x:f>
        <x:v>14</x:v>
      </x:c>
      <x:c r="F45" s="187" t="n">
        <x:f>SUM($E$32:E45)</x:f>
        <x:v>200</x:v>
      </x:c>
      <x:c r="G45" s="187" t="n">
        <x:f>QUOTIENT(F45,100)</x:f>
        <x:v>2</x:v>
      </x:c>
      <x:c r="H45" s="187" t="n">
        <x:f>MOD(F45,100)</x:f>
        <x:v>0</x:v>
      </x:c>
    </x:row>
    <x:row r="46" ht="22" customHeight="1">
      <x:c r="A46" s="186" t="n">
        <x:v>15</x:v>
      </x:c>
      <x:c r="B46" s="187" t="n">
        <x:f>8+QUOTIENT(MIN(50,A46),4)+3</x:f>
        <x:v>14</x:v>
      </x:c>
      <x:c r="C46" s="187" t="n">
        <x:f>IF(MOD(A46,10)=0,25,0)</x:f>
        <x:v>0</x:v>
      </x:c>
      <x:c r="D46" s="187" t="n">
        <x:f>IF(AND(A46&gt;=20,MOD(A46,10)=0),50,0)</x:f>
        <x:v>0</x:v>
      </x:c>
      <x:c r="E46" s="187" t="n">
        <x:f>SUM(B46:D46)</x:f>
        <x:v>14</x:v>
      </x:c>
      <x:c r="F46" s="187" t="n">
        <x:f>SUM($E$32:E46)</x:f>
        <x:v>214</x:v>
      </x:c>
      <x:c r="G46" s="187" t="n">
        <x:f>QUOTIENT(F46,100)</x:f>
        <x:v>2</x:v>
      </x:c>
      <x:c r="H46" s="187" t="n">
        <x:f>MOD(F46,100)</x:f>
        <x:v>14</x:v>
      </x:c>
    </x:row>
    <x:row r="47" ht="22" customHeight="1">
      <x:c r="A47" s="186" t="n">
        <x:v>16</x:v>
      </x:c>
      <x:c r="B47" s="187" t="n">
        <x:f>8+QUOTIENT(MIN(50,A47),4)+3</x:f>
        <x:v>15</x:v>
      </x:c>
      <x:c r="C47" s="187" t="n">
        <x:f>IF(MOD(A47,10)=0,25,0)</x:f>
        <x:v>0</x:v>
      </x:c>
      <x:c r="D47" s="187" t="n">
        <x:f>IF(AND(A47&gt;=20,MOD(A47,10)=0),50,0)</x:f>
        <x:v>0</x:v>
      </x:c>
      <x:c r="E47" s="187" t="n">
        <x:f>SUM(B47:D47)</x:f>
        <x:v>15</x:v>
      </x:c>
      <x:c r="F47" s="187" t="n">
        <x:f>SUM($E$32:E47)</x:f>
        <x:v>229</x:v>
      </x:c>
      <x:c r="G47" s="187" t="n">
        <x:f>QUOTIENT(F47,100)</x:f>
        <x:v>2</x:v>
      </x:c>
      <x:c r="H47" s="187" t="n">
        <x:f>MOD(F47,100)</x:f>
        <x:v>29</x:v>
      </x:c>
    </x:row>
    <x:row r="48" ht="22" customHeight="1">
      <x:c r="A48" s="186" t="n">
        <x:v>17</x:v>
      </x:c>
      <x:c r="B48" s="187" t="n">
        <x:f>8+QUOTIENT(MIN(50,A48),4)+3</x:f>
        <x:v>15</x:v>
      </x:c>
      <x:c r="C48" s="187" t="n">
        <x:f>IF(MOD(A48,10)=0,25,0)</x:f>
        <x:v>0</x:v>
      </x:c>
      <x:c r="D48" s="187" t="n">
        <x:f>IF(AND(A48&gt;=20,MOD(A48,10)=0),50,0)</x:f>
        <x:v>0</x:v>
      </x:c>
      <x:c r="E48" s="187" t="n">
        <x:f>SUM(B48:D48)</x:f>
        <x:v>15</x:v>
      </x:c>
      <x:c r="F48" s="187" t="n">
        <x:f>SUM($E$32:E48)</x:f>
        <x:v>244</x:v>
      </x:c>
      <x:c r="G48" s="187" t="n">
        <x:f>QUOTIENT(F48,100)</x:f>
        <x:v>2</x:v>
      </x:c>
      <x:c r="H48" s="187" t="n">
        <x:f>MOD(F48,100)</x:f>
        <x:v>44</x:v>
      </x:c>
    </x:row>
    <x:row r="49" ht="22" customHeight="1">
      <x:c r="A49" s="186" t="n">
        <x:v>18</x:v>
      </x:c>
      <x:c r="B49" s="187" t="n">
        <x:f>8+QUOTIENT(MIN(50,A49),4)+3</x:f>
        <x:v>15</x:v>
      </x:c>
      <x:c r="C49" s="187" t="n">
        <x:f>IF(MOD(A49,10)=0,25,0)</x:f>
        <x:v>0</x:v>
      </x:c>
      <x:c r="D49" s="187" t="n">
        <x:f>IF(AND(A49&gt;=20,MOD(A49,10)=0),50,0)</x:f>
        <x:v>0</x:v>
      </x:c>
      <x:c r="E49" s="187" t="n">
        <x:f>SUM(B49:D49)</x:f>
        <x:v>15</x:v>
      </x:c>
      <x:c r="F49" s="187" t="n">
        <x:f>SUM($E$32:E49)</x:f>
        <x:v>259</x:v>
      </x:c>
      <x:c r="G49" s="187" t="n">
        <x:f>QUOTIENT(F49,100)</x:f>
        <x:v>2</x:v>
      </x:c>
      <x:c r="H49" s="187" t="n">
        <x:f>MOD(F49,100)</x:f>
        <x:v>59</x:v>
      </x:c>
    </x:row>
    <x:row r="50" ht="22" customHeight="1">
      <x:c r="A50" s="186" t="n">
        <x:v>19</x:v>
      </x:c>
      <x:c r="B50" s="187" t="n">
        <x:f>8+QUOTIENT(MIN(50,A50),4)+3</x:f>
        <x:v>15</x:v>
      </x:c>
      <x:c r="C50" s="187" t="n">
        <x:f>IF(MOD(A50,10)=0,25,0)</x:f>
        <x:v>0</x:v>
      </x:c>
      <x:c r="D50" s="187" t="n">
        <x:f>IF(AND(A50&gt;=20,MOD(A50,10)=0),50,0)</x:f>
        <x:v>0</x:v>
      </x:c>
      <x:c r="E50" s="187" t="n">
        <x:f>SUM(B50:D50)</x:f>
        <x:v>15</x:v>
      </x:c>
      <x:c r="F50" s="187" t="n">
        <x:f>SUM($E$32:E50)</x:f>
        <x:v>274</x:v>
      </x:c>
      <x:c r="G50" s="187" t="n">
        <x:f>QUOTIENT(F50,100)</x:f>
        <x:v>2</x:v>
      </x:c>
      <x:c r="H50" s="187" t="n">
        <x:f>MOD(F50,100)</x:f>
        <x:v>74</x:v>
      </x:c>
    </x:row>
    <x:row r="51" ht="22" customHeight="1">
      <x:c r="A51" s="186" t="n">
        <x:v>20</x:v>
      </x:c>
      <x:c r="B51" s="187" t="n">
        <x:f>8+QUOTIENT(MIN(50,A51),4)+3</x:f>
        <x:v>16</x:v>
      </x:c>
      <x:c r="C51" s="187" t="n">
        <x:f>IF(MOD(A51,10)=0,25,0)</x:f>
        <x:v>25</x:v>
      </x:c>
      <x:c r="D51" s="187" t="n">
        <x:f>IF(AND(A51&gt;=20,MOD(A51,10)=0),50,0)</x:f>
        <x:v>50</x:v>
      </x:c>
      <x:c r="E51" s="187" t="n">
        <x:f>SUM(B51:D51)</x:f>
        <x:v>91</x:v>
      </x:c>
      <x:c r="F51" s="187" t="n">
        <x:f>SUM($E$32:E51)</x:f>
        <x:v>365</x:v>
      </x:c>
      <x:c r="G51" s="187" t="n">
        <x:f>QUOTIENT(F51,100)</x:f>
        <x:v>3</x:v>
      </x:c>
      <x:c r="H51" s="187" t="n">
        <x:f>MOD(F51,100)</x:f>
        <x:v>65</x:v>
      </x:c>
    </x:row>
    <x:row r="53" ht="34" customHeight="1">
      <x:c r="A53" s="188" t="inlineStr">
        <x:is>
          <x:t xml:space="preserve">검증 기준: R20·30·40·50는 직전 2R 압박 → 허들 → 이후 3R 완화. R10 기존 목표(성공률 65~75%)에는 새 허들 배율을 적용하지 않음.</x:t>
        </x:is>
      </x:c>
      <x:c r="B53" s="189" t="n"/>
      <x:c r="C53" s="189" t="n"/>
      <x:c r="D53" s="189" t="n"/>
      <x:c r="E53" s="189" t="n"/>
      <x:c r="F53" s="189" t="n"/>
      <x:c r="G53" s="189" t="n"/>
      <x:c r="H53" s="190" t="n"/>
    </x:row>
    <x:row r="55" ht="30" customHeight="1">
      <x:c r="A55" s="191" t="inlineStr">
        <x:is>
          <x:t xml:space="preserve">초반 불운 역전 정책 · 행운 소환 (2026-07-22)</x:t>
        </x:is>
      </x:c>
    </x:row>
    <x:row r="56" ht="28" customHeight="1">
      <x:c r="A56" s="192" t="inlineStr">
        <x:is>
          <x:t xml:space="preserve">구분</x:t>
        </x:is>
      </x:c>
      <x:c r="B56" s="192" t="inlineStr">
        <x:is>
          <x:t xml:space="preserve">기존</x:t>
        </x:is>
      </x:c>
      <x:c r="C56" s="192" t="inlineStr">
        <x:is>
          <x:t xml:space="preserve">변경</x:t>
        </x:is>
      </x:c>
      <x:c r="D56" s="192" t="inlineStr">
        <x:is>
          <x:t xml:space="preserve">발동 조건</x:t>
        </x:is>
      </x:c>
      <x:c r="E56" s="192" t="inlineStr">
        <x:is>
          <x:t xml:space="preserve">선택 성격</x:t>
        </x:is>
      </x:c>
      <x:c r="F56" s="192" t="inlineStr">
        <x:is>
          <x:t xml:space="preserve">비용</x:t>
        </x:is>
      </x:c>
      <x:c r="G56" s="192" t="inlineStr">
        <x:is>
          <x:t xml:space="preserve">설계 의도</x:t>
        </x:is>
      </x:c>
    </x:row>
    <x:row r="57" ht="42" customHeight="1">
      <x:c r="A57" s="193" t="inlineStr">
        <x:is>
          <x:t xml:space="preserve">기존 R3 보험</x:t>
        </x:is>
      </x:c>
      <x:c r="B57" s="194" t="inlineStr">
        <x:is>
          <x:t xml:space="preserve">5회 저점 시 무료 재료 팝업</x:t>
        </x:is>
      </x:c>
      <x:c r="C57" s="194" t="inlineStr">
        <x:is>
          <x:t xml:space="preserve">삭제</x:t>
        </x:is>
      </x:c>
      <x:c r="D57" s="194" t="inlineStr">
        <x:is>
          <x:t xml:space="preserve">사용 안 함</x:t>
        </x:is>
      </x:c>
      <x:c r="E57" s="194" t="inlineStr">
        <x:is>
          <x:t xml:space="preserve">-</x:t>
        </x:is>
      </x:c>
      <x:c r="F57" s="195" t="inlineStr">
        <x:is>
          <x:t xml:space="preserve">무료</x:t>
        </x:is>
      </x:c>
      <x:c r="G57" s="194" t="inlineStr">
        <x:is>
          <x:t xml:space="preserve">매 판 받는 정규 보상처럼 느껴지는 문제 제거</x:t>
        </x:is>
      </x:c>
    </x:row>
    <x:row r="58" ht="42" customHeight="1">
      <x:c r="A58" s="193" t="inlineStr">
        <x:is>
          <x:t xml:space="preserve">행운 눈금</x:t>
        </x:is>
      </x:c>
      <x:c r="B58" s="194" t="inlineStr">
        <x:is>
          <x:t xml:space="preserve">없음</x:t>
        </x:is>
      </x:c>
      <x:c r="C58" s="194" t="inlineStr">
        <x:is>
          <x:t xml:space="preserve">일반 3연속부터 표시</x:t>
        </x:is>
      </x:c>
      <x:c r="D58" s="194" t="inlineStr">
        <x:is>
          <x:t xml:space="preserve">일반 등급 연속 획득</x:t>
        </x:is>
      </x:c>
      <x:c r="E58" s="194" t="inlineStr">
        <x:is>
          <x:t xml:space="preserve">소환 버튼 내부 표시</x:t>
        </x:is>
      </x:c>
      <x:c r="F58" s="195" t="inlineStr">
        <x:is>
          <x:t xml:space="preserve">-</x:t>
        </x:is>
      </x:c>
      <x:c r="G58" s="194" t="inlineStr">
        <x:is>
          <x:t xml:space="preserve">평소 HUD 방해 최소화</x:t>
        </x:is>
      </x:c>
    </x:row>
    <x:row r="59" ht="42" customHeight="1">
      <x:c r="A59" s="193" t="inlineStr">
        <x:is>
          <x:t xml:space="preserve">행운 소환 활성화</x:t>
        </x:is>
      </x:c>
      <x:c r="B59" s="194" t="inlineStr">
        <x:is>
          <x:t xml:space="preserve">없음</x:t>
        </x:is>
      </x:c>
      <x:c r="C59" s="194" t="inlineStr">
        <x:is>
          <x:t xml:space="preserve">일반 7연속 + R4 이후</x:t>
        </x:is>
      </x:c>
      <x:c r="D59" s="194" t="inlineStr">
        <x:is>
          <x:t xml:space="preserve">레어 이상 획득 시 연속 수 초기화</x:t>
        </x:is>
      </x:c>
      <x:c r="E59" s="194" t="inlineStr">
        <x:is>
          <x:t xml:space="preserve">한 판 최대 1회</x:t>
        </x:is>
      </x:c>
      <x:c r="F59" s="195" t="inlineStr">
        <x:is>
          <x:t xml:space="preserve">-</x:t>
        </x:is>
      </x:c>
      <x:c r="G59" s="194" t="inlineStr">
        <x:is>
          <x:t xml:space="preserve">드문 불운 역전 이벤트</x:t>
        </x:is>
      </x:c>
    </x:row>
    <x:row r="60" ht="42" customHeight="1">
      <x:c r="A60" s="193" t="inlineStr">
        <x:is>
          <x:t xml:space="preserve">연결의 주사위</x:t>
        </x:is>
      </x:c>
      <x:c r="B60" s="194" t="inlineStr">
        <x:is>
          <x:t xml:space="preserve">없음</x:t>
        </x:is>
      </x:c>
      <x:c r="C60" s="194" t="inlineStr">
        <x:is>
          <x:t xml:space="preserve">가장 가까운 합성 재료 1기</x:t>
        </x:is>
      </x:c>
      <x:c r="D60" s="194" t="inlineStr">
        <x:is>
          <x:t xml:space="preserve">행운 소환 준비 후 소환 버튼 클릭</x:t>
        </x:is>
      </x:c>
      <x:c r="E60" s="194" t="inlineStr">
        <x:is>
          <x:t xml:space="preserve">합성 가속</x:t>
        </x:is>
      </x:c>
      <x:c r="F60" s="195" t="inlineStr">
        <x:is>
          <x:t xml:space="preserve">일반 소환비 100%</x:t>
        </x:is>
      </x:c>
      <x:c r="G60" s="194" t="inlineStr">
        <x:is>
          <x:t xml:space="preserve">현재 보드에 맞춘 안정 선택</x:t>
        </x:is>
      </x:c>
    </x:row>
    <x:row r="61" ht="42" customHeight="1">
      <x:c r="A61" s="193" t="inlineStr">
        <x:is>
          <x:t xml:space="preserve">안전의 주사위</x:t>
        </x:is>
      </x:c>
      <x:c r="B61" s="194" t="inlineStr">
        <x:is>
          <x:t xml:space="preserve">없음</x:t>
        </x:is>
      </x:c>
      <x:c r="C61" s="194" t="inlineStr">
        <x:is>
          <x:t xml:space="preserve">레어 이상 확정</x:t>
        </x:is>
      </x:c>
      <x:c r="D61" s="194" t="inlineStr">
        <x:is>
          <x:t xml:space="preserve">행운 소환 준비 후 소환 버튼 클릭</x:t>
        </x:is>
      </x:c>
      <x:c r="E61" s="194" t="inlineStr">
        <x:is>
          <x:t xml:space="preserve">등급 안정</x:t>
        </x:is>
      </x:c>
      <x:c r="F61" s="195" t="inlineStr">
        <x:is>
          <x:t xml:space="preserve">일반 소환비 150%</x:t>
        </x:is>
      </x:c>
      <x:c r="G61" s="194" t="inlineStr">
        <x:is>
          <x:t xml:space="preserve">확실한 성장과 골드 부담의 교환</x:t>
        </x:is>
      </x:c>
    </x:row>
    <x:row r="62" ht="42" customHeight="1">
      <x:c r="A62" s="193" t="inlineStr">
        <x:is>
          <x:t xml:space="preserve">승부의 주사위</x:t>
        </x:is>
      </x:c>
      <x:c r="B62" s="194" t="inlineStr">
        <x:is>
          <x:t xml:space="preserve">없음</x:t>
        </x:is>
      </x:c>
      <x:c r="C62" s="194" t="inlineStr">
        <x:is>
          <x:t xml:space="preserve">에픽 25%</x:t>
        </x:is>
      </x:c>
      <x:c r="D62" s="194" t="inlineStr">
        <x:is>
          <x:t xml:space="preserve">실패 시 일반 유닛 + 소환비 50% 환급</x:t>
        </x:is>
      </x:c>
      <x:c r="E62" s="194" t="inlineStr">
        <x:is>
          <x:t xml:space="preserve">고위험 선택</x:t>
        </x:is>
      </x:c>
      <x:c r="F62" s="195" t="inlineStr">
        <x:is>
          <x:t xml:space="preserve">일반 소환비 100%</x:t>
        </x:is>
      </x:c>
      <x:c r="G62" s="194" t="inlineStr">
        <x:is>
          <x:t xml:space="preserve">실패해도 완전한 빈손은 방지</x:t>
        </x:is>
      </x:c>
    </x:row>
    <x:row r="63" ht="42" customHeight="1">
      <x:c r="A63" s="196" t="inlineStr">
        <x:is>
          <x:t xml:space="preserve">선택 UI</x:t>
        </x:is>
      </x:c>
      <x:c r="B63" s="197" t="inlineStr">
        <x:is>
          <x:t xml:space="preserve">라운드 종료 상점형 팝업</x:t>
        </x:is>
      </x:c>
      <x:c r="C63" s="197" t="inlineStr">
        <x:is>
          <x:t xml:space="preserve">소환 클릭 시 중앙 3카드</x:t>
        </x:is>
      </x:c>
      <x:c r="D63" s="197" t="inlineStr">
        <x:is>
          <x:t xml:space="preserve">어두운 배경, 나중에 닫기 가능</x:t>
        </x:is>
      </x:c>
      <x:c r="E63" s="197" t="inlineStr">
        <x:is>
          <x:t xml:space="preserve">상점·증강체·운명카드와 별도</x:t>
        </x:is>
      </x:c>
      <x:c r="F63" s="198" t="inlineStr">
        <x:is>
          <x:t xml:space="preserve">-</x:t>
        </x:is>
      </x:c>
      <x:c r="G63" s="197" t="inlineStr">
        <x:is>
          <x:t xml:space="preserve">정체와 발동 원인을 즉시 이해</x:t>
        </x:is>
      </x:c>
    </x:row>
  </x:sheetData>
  <x:mergeCells>
    <x:mergeCell ref="A2:H2"/>
    <x:mergeCell ref="A55:G55"/>
    <x:mergeCell ref="A53:H53"/>
    <x:mergeCell ref="A1:H1"/>
  </x:mergeCells>
  <x:pageMargins left="0.7" right="0.7" top="0.75" bottom="0.75" header="0.3" footer="0.3"/>
  <x:tableParts count="3">
    <x:tablePart xmlns:r="http://schemas.openxmlformats.org/officeDocument/2006/relationships" r:id="R8721ce335a31490a"/>
    <x:tablePart xmlns:r="http://schemas.openxmlformats.org/officeDocument/2006/relationships" r:id="R643f43e1bea24b76"/>
    <x:tablePart xmlns:r="http://schemas.openxmlformats.org/officeDocument/2006/relationships" r:id="R2824743c9ec5472d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30" hidden="0" customWidth="1"/>
    <x:col min="5" max="5" width="30" hidden="0" customWidth="1"/>
    <x:col min="6" max="6" width="28" hidden="0" customWidth="1"/>
    <x:col min="7" max="7" width="17" hidden="0" customWidth="1"/>
    <x:col min="8" max="8" width="34" hidden="0" customWidth="1"/>
  </x:cols>
  <x:sheetData>
    <x:row r="1" ht="30" customHeight="1">
      <x:c r="A1" s="202" t="str">
        <x:v>서비스형 유닛 획득 · 성장 · 보상 설계</x:v>
      </x:c>
      <x:c r="B1" s="202"/>
      <x:c r="C1" s="202"/>
      <x:c r="D1" s="202"/>
      <x:c r="E1" s="202"/>
      <x:c r="F1" s="202"/>
      <x:c r="G1" s="202"/>
      <x:c r="H1" s="202"/>
    </x:row>
    <x:row r="2" ht="28" customHeight="1">
      <x:c r="A2" s="207" t="str">
        <x:v>2026-08-06 제작 기준 · 소환은 보유 유닛만, 명함은 쉽게, 중복 성장·티켓·허들로 장기 목표를 만든다.</x:v>
      </x:c>
      <x:c r="B2" s="207"/>
      <x:c r="C2" s="207"/>
      <x:c r="D2" s="207"/>
      <x:c r="E2" s="207"/>
      <x:c r="F2" s="207"/>
      <x:c r="G2" s="207"/>
      <x:c r="H2" s="207"/>
    </x:row>
    <x:row r="4" ht="24" customHeight="1">
      <x:c r="A4" s="213" t="str">
        <x:v>1. 서비스 핵심 정책</x:v>
      </x:c>
      <x:c r="B4" s="214" t="str">
        <x:v>1. 서비스 핵심 정책</x:v>
      </x:c>
      <x:c r="C4" s="214" t="str">
        <x:v>1. 서비스 핵심 정책</x:v>
      </x:c>
      <x:c r="D4" s="214" t="str">
        <x:v>1. 서비스 핵심 정책</x:v>
      </x:c>
      <x:c r="E4" s="214" t="str">
        <x:v>1. 서비스 핵심 정책</x:v>
      </x:c>
      <x:c r="F4" s="214" t="str">
        <x:v>1. 서비스 핵심 정책</x:v>
      </x:c>
      <x:c r="G4" s="214" t="str">
        <x:v>1. 서비스 핵심 정책</x:v>
      </x:c>
      <x:c r="H4" s="215" t="str">
        <x:v>1. 서비스 핵심 정책</x:v>
      </x:c>
    </x:row>
    <x:row r="5" ht="28" customHeight="1">
      <x:c r="A5" s="221" t="str">
        <x:v>구분</x:v>
      </x:c>
      <x:c r="B5" s="221" t="str">
        <x:v>확정 정책</x:v>
      </x:c>
      <x:c r="C5" s="221" t="str">
        <x:v>무료 경로</x:v>
      </x:c>
      <x:c r="D5" s="221" t="str">
        <x:v>유료/가속 경로</x:v>
      </x:c>
      <x:c r="E5" s="221" t="str">
        <x:v>인게임 영향</x:v>
      </x:c>
      <x:c r="F5" s="221" t="str">
        <x:v>관리 데이터</x:v>
      </x:c>
      <x:c r="G5" s="221" t="str">
        <x:v>상태</x:v>
      </x:c>
      <x:c r="H5" s="221" t="str">
        <x:v>수용 기준</x:v>
      </x:c>
    </x:row>
    <x:row r="6" ht="40" customHeight="1">
      <x:c r="A6" s="226" t="str">
        <x:v>인게임 소환</x:v>
      </x:c>
      <x:c r="B6" s="226" t="str">
        <x:v>계정 인벤의 보유 유닛만 소환</x:v>
      </x:c>
      <x:c r="C6" s="226" t="str">
        <x:v>얏찌·패스·일반 보상</x:v>
      </x:c>
      <x:c r="D6" s="226" t="str">
        <x:v>상점·패키지는 획득 속도 단축</x:v>
      </x:c>
      <x:c r="E6" s="226" t="str">
        <x:v>미보유 유닛은 절대 등장하지 않음</x:v>
      </x:c>
      <x:c r="F6" s="226" t="str">
        <x:v>OwnedUnitInventory</x:v>
      </x:c>
      <x:c r="G6" s="226" t="str">
        <x:v>정책 확정·미구현</x:v>
      </x:c>
      <x:c r="H6" s="226" t="str">
        <x:v>잠금 유닛 0회 등장</x:v>
      </x:c>
    </x:row>
    <x:row r="7" ht="40" customHeight="1">
      <x:c r="A7" s="226" t="str">
        <x:v>소환 선택</x:v>
      </x:c>
      <x:c r="B7" s="226" t="str">
        <x:v>등급을 먼저 굴린 뒤 해당 등급의 보유 유닛에서 가중 선택</x:v>
      </x:c>
      <x:c r="C7" s="226" t="str">
        <x:v>보유 유닛 전체</x:v>
      </x:c>
      <x:c r="D7" s="226" t="str">
        <x:v>포커스는 선택형 가속</x:v>
      </x:c>
      <x:c r="E7" s="226" t="str">
        <x:v>등급 확률 자체는 바뀌지 않음</x:v>
      </x:c>
      <x:c r="F7" s="226" t="str">
        <x:v>ServiceSummonWeightConfig</x:v>
      </x:c>
      <x:c r="G7" s="226" t="str">
        <x:v>설계 확정·미구현</x:v>
      </x:c>
      <x:c r="H7" s="226" t="str">
        <x:v>가중치 ON/OFF 등급 분포 동일</x:v>
      </x:c>
    </x:row>
    <x:row r="8" ht="40" customHeight="1">
      <x:c r="A8" s="226" t="str">
        <x:v>등급 폴백</x:v>
      </x:c>
      <x:c r="B8" s="226" t="str">
        <x:v>해당 등급에 보유 유닛이 없으면 가장 가까운 하위 보유 등급</x:v>
      </x:c>
      <x:c r="C8" s="226" t="str">
        <x:v>막힌 소환 방지</x:v>
      </x:c>
      <x:c r="D8" s="226" t="str">
        <x:v>-</x:v>
      </x:c>
      <x:c r="E8" s="226" t="str">
        <x:v>잠금 유닛으로 대체하지 않음</x:v>
      </x:c>
      <x:c r="F8" s="226" t="str">
        <x:v>SummonFallbackPolicy</x:v>
      </x:c>
      <x:c r="G8" s="226" t="str">
        <x:v>설계 확정·미구현</x:v>
      </x:c>
      <x:c r="H8" s="226" t="str">
        <x:v>빈 등급 오류 0</x:v>
      </x:c>
    </x:row>
    <x:row r="9" ht="40" customHeight="1">
      <x:c r="A9" s="226" t="str">
        <x:v>명함 해금</x:v>
      </x:c>
      <x:c r="B9" s="226" t="str">
        <x:v>카드 1장으로 유닛 해금</x:v>
      </x:c>
      <x:c r="C9" s="226" t="str">
        <x:v>무료 상자·얏찌·무료 패스</x:v>
      </x:c>
      <x:c r="D9" s="226" t="str">
        <x:v>다이아 상점·패키지</x:v>
      </x:c>
      <x:c r="E9" s="226" t="str">
        <x:v>해금 즉시 소환 후보 편입</x:v>
      </x:c>
      <x:c r="F9" s="226" t="str">
        <x:v>UnitUnlockRequirement</x:v>
      </x:c>
      <x:c r="G9" s="226" t="str">
        <x:v>정책 확정</x:v>
      </x:c>
      <x:c r="H9" s="226" t="str">
        <x:v>1장 획득 후 즉시 출전</x:v>
      </x:c>
    </x:row>
    <x:row r="10" ht="40" customHeight="1">
      <x:c r="A10" s="226" t="str">
        <x:v>중복 성장</x:v>
      </x:c>
      <x:c r="B10" s="226" t="str">
        <x:v>중복은 조각으로 누적, 저레벨 빠르게·후반 요구량 증가</x:v>
      </x:c>
      <x:c r="C10" s="226" t="str">
        <x:v>반복 플레이</x:v>
      </x:c>
      <x:c r="D10" s="226" t="str">
        <x:v>선택 조각·패키지</x:v>
      </x:c>
      <x:c r="E10" s="226" t="str">
        <x:v>레벨이 인게임 스탯에 반영</x:v>
      </x:c>
      <x:c r="F10" s="226" t="str">
        <x:v>UnitShardGrowthTable</x:v>
      </x:c>
      <x:c r="G10" s="226" t="str">
        <x:v>수치 검증 필요</x:v>
      </x:c>
      <x:c r="H10" s="226" t="str">
        <x:v>레벨/DPS 곡선 검증</x:v>
      </x:c>
    </x:row>
    <x:row r="11" ht="40" customHeight="1">
      <x:c r="A11" s="226" t="str">
        <x:v>최대 중복</x:v>
      </x:c>
      <x:c r="B11" s="226" t="str">
        <x:v>최대 레벨 이후 범용 상위 성장 재화로 전환</x:v>
      </x:c>
      <x:c r="C11" s="226" t="str">
        <x:v>잉여 보상 방지</x:v>
      </x:c>
      <x:c r="D11" s="226" t="str">
        <x:v>중복 가치 보존</x:v>
      </x:c>
      <x:c r="E11" s="226" t="str">
        <x:v>완전한 꽝 방지</x:v>
      </x:c>
      <x:c r="F11" s="226" t="str">
        <x:v>OverflowShardConversion</x:v>
      </x:c>
      <x:c r="G11" s="226" t="str">
        <x:v>설계 확정·미구현</x:v>
      </x:c>
      <x:c r="H11" s="226" t="str">
        <x:v>최대 보유 유닛 중복</x:v>
      </x:c>
    </x:row>
    <x:row r="12" ht="40" customHeight="1">
      <x:c r="A12" s="226" t="str">
        <x:v>신화/초월</x:v>
      </x:c>
      <x:c r="B12" s="226" t="str">
        <x:v>일반 상점 직접 판매 제외</x:v>
      </x:c>
      <x:c r="C12" s="226" t="str">
        <x:v>얏찌·무료 패스</x:v>
      </x:c>
      <x:c r="D12" s="226" t="str">
        <x:v>신화/초월 패키지·유료 패스</x:v>
      </x:c>
      <x:c r="E12" s="226" t="str">
        <x:v>보유 후에만 소환 가능</x:v>
      </x:c>
      <x:c r="F12" s="226" t="str">
        <x:v>AcquisitionChannelPolicy</x:v>
      </x:c>
      <x:c r="G12" s="226" t="str">
        <x:v>정책 확정</x:v>
      </x:c>
      <x:c r="H12" s="226" t="str">
        <x:v>무과금 상위등급 경로 존재</x:v>
      </x:c>
    </x:row>
    <x:row r="13" ht="40" customHeight="1">
      <x:c r="A13" s="226" t="str">
        <x:v>성장 원칙</x:v>
      </x:c>
      <x:c r="B13" s="226" t="str">
        <x:v>결제는 확정성과 속도, 전투력 독점은 금지</x:v>
      </x:c>
      <x:c r="C13" s="226" t="str">
        <x:v>동일 유닛 풀 접근</x:v>
      </x:c>
      <x:c r="D13" s="226" t="str">
        <x:v>시간 단축</x:v>
      </x:c>
      <x:c r="E13" s="226" t="str">
        <x:v>인게임 운만으로 허들 전체 돌파 금지</x:v>
      </x:c>
      <x:c r="F13" s="226" t="str">
        <x:v>CommercialBalancePolicy</x:v>
      </x:c>
      <x:c r="G13" s="226" t="str">
        <x:v>정책 확정</x:v>
      </x:c>
      <x:c r="H13" s="226" t="str">
        <x:v>3계정 성장 시뮬레이션</x:v>
      </x:c>
    </x:row>
    <x:row r="15" ht="24" customHeight="1">
      <x:c r="A15" s="213" t="str">
        <x:v>2. 등급별 획득 채널</x:v>
      </x:c>
      <x:c r="B15" s="214" t="str">
        <x:v>2. 등급별 획득 채널</x:v>
      </x:c>
      <x:c r="C15" s="214" t="str">
        <x:v>2. 등급별 획득 채널</x:v>
      </x:c>
      <x:c r="D15" s="214" t="str">
        <x:v>2. 등급별 획득 채널</x:v>
      </x:c>
      <x:c r="E15" s="214" t="str">
        <x:v>2. 등급별 획득 채널</x:v>
      </x:c>
      <x:c r="F15" s="214" t="str">
        <x:v>2. 등급별 획득 채널</x:v>
      </x:c>
      <x:c r="G15" s="214" t="str">
        <x:v>2. 등급별 획득 채널</x:v>
      </x:c>
      <x:c r="H15" s="215" t="str">
        <x:v>2. 등급별 획득 채널</x:v>
      </x:c>
    </x:row>
    <x:row r="16" ht="28" customHeight="1">
      <x:c r="A16" s="221" t="str">
        <x:v>등급</x:v>
      </x:c>
      <x:c r="B16" s="221" t="str">
        <x:v>일반 플레이/무료</x:v>
      </x:c>
      <x:c r="C16" s="221" t="str">
        <x:v>일반 상점</x:v>
      </x:c>
      <x:c r="D16" s="221" t="str">
        <x:v>얏찌</x:v>
      </x:c>
      <x:c r="E16" s="221" t="str">
        <x:v>패키지</x:v>
      </x:c>
      <x:c r="F16" s="221" t="str">
        <x:v>패스</x:v>
      </x:c>
      <x:c r="G16" s="221" t="str">
        <x:v>소환 조건</x:v>
      </x:c>
      <x:c r="H16" s="221" t="str">
        <x:v>의도</x:v>
      </x:c>
    </x:row>
    <x:row r="17" ht="40" customHeight="1">
      <x:c r="A17" s="226" t="str">
        <x:v>일반</x:v>
      </x:c>
      <x:c r="B17" s="226" t="str">
        <x:v>획득</x:v>
      </x:c>
      <x:c r="C17" s="226" t="str">
        <x:v>골드/다이아</x:v>
      </x:c>
      <x:c r="D17" s="226" t="str">
        <x:v>획득</x:v>
      </x:c>
      <x:c r="E17" s="226" t="str">
        <x:v>가능</x:v>
      </x:c>
      <x:c r="F17" s="226" t="str">
        <x:v>가능</x:v>
      </x:c>
      <x:c r="G17" s="226" t="str">
        <x:v>보유 후</x:v>
      </x:c>
      <x:c r="H17" s="226" t="str">
        <x:v>명함·초반 성장 재료를 넉넉히</x:v>
      </x:c>
    </x:row>
    <x:row r="18" ht="40" customHeight="1">
      <x:c r="A18" s="226" t="str">
        <x:v>레어</x:v>
      </x:c>
      <x:c r="B18" s="226" t="str">
        <x:v>획득</x:v>
      </x:c>
      <x:c r="C18" s="226" t="str">
        <x:v>골드/다이아</x:v>
      </x:c>
      <x:c r="D18" s="226" t="str">
        <x:v>획득</x:v>
      </x:c>
      <x:c r="E18" s="226" t="str">
        <x:v>가능</x:v>
      </x:c>
      <x:c r="F18" s="226" t="str">
        <x:v>가능</x:v>
      </x:c>
      <x:c r="G18" s="226" t="str">
        <x:v>보유 후</x:v>
      </x:c>
      <x:c r="H18" s="226" t="str">
        <x:v>초반 조합 다양성</x:v>
      </x:c>
    </x:row>
    <x:row r="19" ht="40" customHeight="1">
      <x:c r="A19" s="226" t="str">
        <x:v>희귀</x:v>
      </x:c>
      <x:c r="B19" s="226" t="str">
        <x:v>획득</x:v>
      </x:c>
      <x:c r="C19" s="226" t="str">
        <x:v>골드/다이아</x:v>
      </x:c>
      <x:c r="D19" s="226" t="str">
        <x:v>획득</x:v>
      </x:c>
      <x:c r="E19" s="226" t="str">
        <x:v>가능</x:v>
      </x:c>
      <x:c r="F19" s="226" t="str">
        <x:v>가능</x:v>
      </x:c>
      <x:c r="G19" s="226" t="str">
        <x:v>보유 후</x:v>
      </x:c>
      <x:c r="H19" s="226" t="str">
        <x:v>중반 성장 목표</x:v>
      </x:c>
    </x:row>
    <x:row r="20" ht="40" customHeight="1">
      <x:c r="A20" s="226" t="str">
        <x:v>전설</x:v>
      </x:c>
      <x:c r="B20" s="226" t="str">
        <x:v>낮은 확률/이벤트</x:v>
      </x:c>
      <x:c r="C20" s="226" t="str">
        <x:v>다이아 직·간접</x:v>
      </x:c>
      <x:c r="D20" s="226" t="str">
        <x:v>획득</x:v>
      </x:c>
      <x:c r="E20" s="226" t="str">
        <x:v>가능</x:v>
      </x:c>
      <x:c r="F20" s="226" t="str">
        <x:v>선택 조각</x:v>
      </x:c>
      <x:c r="G20" s="226" t="str">
        <x:v>보유 후</x:v>
      </x:c>
      <x:c r="H20" s="226" t="str">
        <x:v>상점 접근 가능한 최고 등급</x:v>
      </x:c>
    </x:row>
    <x:row r="21" ht="40" customHeight="1">
      <x:c r="A21" s="226" t="str">
        <x:v>신화</x:v>
      </x:c>
      <x:c r="B21" s="226" t="str">
        <x:v>일반 상점 제외</x:v>
      </x:c>
      <x:c r="C21" s="226" t="str">
        <x:v>판매 안 함</x:v>
      </x:c>
      <x:c r="D21" s="226" t="str">
        <x:v>핵심 무료 획득처</x:v>
      </x:c>
      <x:c r="E21" s="226" t="str">
        <x:v>신화 패키지</x:v>
      </x:c>
      <x:c r="F21" s="226" t="str">
        <x:v>선택 조각</x:v>
      </x:c>
      <x:c r="G21" s="226" t="str">
        <x:v>보유 후</x:v>
      </x:c>
      <x:c r="H21" s="226" t="str">
        <x:v>고유 메커니즘·희소성</x:v>
      </x:c>
    </x:row>
    <x:row r="22" ht="40" customHeight="1">
      <x:c r="A22" s="226" t="str">
        <x:v>초월</x:v>
      </x:c>
      <x:c r="B22" s="226" t="str">
        <x:v>일반 상점 제외</x:v>
      </x:c>
      <x:c r="C22" s="226" t="str">
        <x:v>판매 안 함</x:v>
      </x:c>
      <x:c r="D22" s="226" t="str">
        <x:v>핵심 무료 획득처</x:v>
      </x:c>
      <x:c r="E22" s="226" t="str">
        <x:v>초월 패키지</x:v>
      </x:c>
      <x:c r="F22" s="226" t="str">
        <x:v>후반 조각</x:v>
      </x:c>
      <x:c r="G22" s="226" t="str">
        <x:v>보유 후</x:v>
      </x:c>
      <x:c r="H22" s="226" t="str">
        <x:v>장기 목표, 자동 허들 돌파 금지</x:v>
      </x:c>
    </x:row>
    <x:row r="24" ht="24" customHeight="1">
      <x:c r="A24" s="213" t="str">
        <x:v>3. 인게임 보상과 재화 분리</x:v>
      </x:c>
      <x:c r="B24" s="214" t="str">
        <x:v>3. 인게임 보상과 재화 분리</x:v>
      </x:c>
      <x:c r="C24" s="214" t="str">
        <x:v>3. 인게임 보상과 재화 분리</x:v>
      </x:c>
      <x:c r="D24" s="214" t="str">
        <x:v>3. 인게임 보상과 재화 분리</x:v>
      </x:c>
      <x:c r="E24" s="214" t="str">
        <x:v>3. 인게임 보상과 재화 분리</x:v>
      </x:c>
      <x:c r="F24" s="214" t="str">
        <x:v>3. 인게임 보상과 재화 분리</x:v>
      </x:c>
      <x:c r="G24" s="214" t="str">
        <x:v>3. 인게임 보상과 재화 분리</x:v>
      </x:c>
      <x:c r="H24" s="215" t="str">
        <x:v>3. 인게임 보상과 재화 분리</x:v>
      </x:c>
    </x:row>
    <x:row r="25" ht="28" customHeight="1">
      <x:c r="A25" s="221" t="str">
        <x:v>재화</x:v>
      </x:c>
      <x:c r="B25" s="221" t="str">
        <x:v>획득처</x:v>
      </x:c>
      <x:c r="C25" s="221" t="str">
        <x:v>사용처</x:v>
      </x:c>
      <x:c r="D25" s="221" t="str">
        <x:v>반복</x:v>
      </x:c>
      <x:c r="E25" s="221" t="str">
        <x:v>저장</x:v>
      </x:c>
      <x:c r="F25" s="221" t="str">
        <x:v>초기 정책</x:v>
      </x:c>
      <x:c r="G25" s="221" t="str">
        <x:v>상태</x:v>
      </x:c>
      <x:c r="H25" s="221" t="str">
        <x:v>주의</x:v>
      </x:c>
    </x:row>
    <x:row r="26" ht="40" customHeight="1">
      <x:c r="A26" s="226" t="str">
        <x:v>전투 골드</x:v>
      </x:c>
      <x:c r="B26" s="226" t="str">
        <x:v>런 내부 라운드</x:v>
      </x:c>
      <x:c r="C26" s="226" t="str">
        <x:v>소환·소형 전투상점</x:v>
      </x:c>
      <x:c r="D26" s="226" t="str">
        <x:v>매 런</x:v>
      </x:c>
      <x:c r="E26" s="226" t="str">
        <x:v>런 종료 시 초기화</x:v>
      </x:c>
      <x:c r="F26" s="226" t="str">
        <x:v>현재 런 전용</x:v>
      </x:c>
      <x:c r="G26" s="226" t="str">
        <x:v>확정</x:v>
      </x:c>
      <x:c r="H26" s="226" t="str">
        <x:v>계정 골드와 완전 분리</x:v>
      </x:c>
    </x:row>
    <x:row r="27" ht="40" customHeight="1">
      <x:c r="A27" s="226" t="str">
        <x:v>계정 골드</x:v>
      </x:c>
      <x:c r="B27" s="226" t="str">
        <x:v>일반 라운드·패스·얏찌</x:v>
      </x:c>
      <x:c r="C27" s="226" t="str">
        <x:v>얏찌 재굴림·성장</x:v>
      </x:c>
      <x:c r="D27" s="226" t="str">
        <x:v>반복</x:v>
      </x:c>
      <x:c r="E27" s="226" t="str">
        <x:v>영구</x:v>
      </x:c>
      <x:c r="F27" s="226" t="str">
        <x:v>지속 재화</x:v>
      </x:c>
      <x:c r="G27" s="226" t="str">
        <x:v>설계 확정·수치 미정</x:v>
      </x:c>
      <x:c r="H27" s="226" t="str">
        <x:v>보상량 경제 검증</x:v>
      </x:c>
    </x:row>
    <x:row r="28" ht="40" customHeight="1">
      <x:c r="A28" s="226" t="str">
        <x:v>다이아</x:v>
      </x:c>
      <x:c r="B28" s="226" t="str">
        <x:v>보스 소량·주요 보스 상향·패스·얏찌</x:v>
      </x:c>
      <x:c r="C28" s="226" t="str">
        <x:v>상점·홀드·티켓</x:v>
      </x:c>
      <x:c r="D28" s="226" t="str">
        <x:v>보스별</x:v>
      </x:c>
      <x:c r="E28" s="226" t="str">
        <x:v>영구</x:v>
      </x:c>
      <x:c r="F28" s="226" t="str">
        <x:v>희소 재화</x:v>
      </x:c>
      <x:c r="G28" s="226" t="str">
        <x:v>설계 확정·수치 미정</x:v>
      </x:c>
      <x:c r="H28" s="226" t="str">
        <x:v>보스/주요보스 차등</x:v>
      </x:c>
    </x:row>
    <x:row r="29" ht="40" customHeight="1">
      <x:c r="A29" s="226" t="str">
        <x:v>얏찌 티켓</x:v>
      </x:c>
      <x:c r="B29" s="226" t="str">
        <x:v>최초 클리어·패스·다이아/캐시</x:v>
      </x:c>
      <x:c r="C29" s="226" t="str">
        <x:v>얏찌 세션</x:v>
      </x:c>
      <x:c r="D29" s="226" t="str">
        <x:v>최초 1회</x:v>
      </x:c>
      <x:c r="E29" s="226" t="str">
        <x:v>영구</x:v>
      </x:c>
      <x:c r="F29" s="226" t="str">
        <x:v>반복 라운드 보상 제외</x:v>
      </x:c>
      <x:c r="G29" s="226" t="str">
        <x:v>확정</x:v>
      </x:c>
      <x:c r="H29" s="226" t="str">
        <x:v>재클리어 티켓 0</x:v>
      </x:c>
    </x:row>
    <x:row r="30" ht="40" customHeight="1">
      <x:c r="A30" s="226" t="str">
        <x:v>무료 패스</x:v>
      </x:c>
      <x:c r="B30" s="226" t="str">
        <x:v>플레이/미션 XP</x:v>
      </x:c>
      <x:c r="C30" s="226" t="str">
        <x:v>티켓·일반 보상</x:v>
      </x:c>
      <x:c r="D30" s="226" t="str">
        <x:v>시즌</x:v>
      </x:c>
      <x:c r="E30" s="226" t="str">
        <x:v>시즌 저장</x:v>
      </x:c>
      <x:c r="F30" s="226" t="str">
        <x:v>반복 공급 주 경로</x:v>
      </x:c>
      <x:c r="G30" s="226" t="str">
        <x:v>설계 확정·수치 미정</x:v>
      </x:c>
      <x:c r="H30" s="226" t="str">
        <x:v>상위등급 무료 접근 유지</x:v>
      </x:c>
    </x:row>
    <x:row r="31" ht="40" customHeight="1">
      <x:c r="A31" s="226" t="str">
        <x:v>유료 패스</x:v>
      </x:c>
      <x:c r="B31" s="226" t="str">
        <x:v>구매 후 패스 XP</x:v>
      </x:c>
      <x:c r="C31" s="226" t="str">
        <x:v>추가 티켓·선택 조각</x:v>
      </x:c>
      <x:c r="D31" s="226" t="str">
        <x:v>시즌</x:v>
      </x:c>
      <x:c r="E31" s="226" t="str">
        <x:v>시즌 저장</x:v>
      </x:c>
      <x:c r="F31" s="226" t="str">
        <x:v>안정적 성장 가속</x:v>
      </x:c>
      <x:c r="G31" s="226" t="str">
        <x:v>설계 확정·수치 미정</x:v>
      </x:c>
      <x:c r="H31" s="226" t="str">
        <x:v>신화→초월 조각 단계</x:v>
      </x:c>
    </x:row>
    <x:row r="32" ht="40" customHeight="1">
      <x:c r="A32" s="226" t="str">
        <x:v>재클리어</x:v>
      </x:c>
      <x:c r="B32" s="226" t="str">
        <x:v>최초 보상 이후</x:v>
      </x:c>
      <x:c r="C32" s="226" t="str">
        <x:v>패스 XP·소량 골드·게이지</x:v>
      </x:c>
      <x:c r="D32" s="226" t="str">
        <x:v>반복</x:v>
      </x:c>
      <x:c r="E32" s="226" t="str">
        <x:v>진행도</x:v>
      </x:c>
      <x:c r="F32" s="226" t="str">
        <x:v>티켓 없음</x:v>
      </x:c>
      <x:c r="G32" s="226" t="str">
        <x:v>확정</x:v>
      </x:c>
      <x:c r="H32" s="226" t="str">
        <x:v>반복 파밍 방지</x:v>
      </x:c>
    </x:row>
    <x:row r="34" ht="24" customHeight="1">
      <x:c r="A34" s="213" t="str">
        <x:v>4. 최초 클리어 티켓 계단형 보상</x:v>
      </x:c>
      <x:c r="B34" s="214" t="str">
        <x:v>4. 최초 클리어 티켓 계단형 보상</x:v>
      </x:c>
      <x:c r="C34" s="214" t="str">
        <x:v>4. 최초 클리어 티켓 계단형 보상</x:v>
      </x:c>
      <x:c r="D34" s="214" t="str">
        <x:v>4. 최초 클리어 티켓 계단형 보상</x:v>
      </x:c>
      <x:c r="E34" s="214" t="str">
        <x:v>4. 최초 클리어 티켓 계단형 보상</x:v>
      </x:c>
      <x:c r="F34" s="214" t="str">
        <x:v>4. 최초 클리어 티켓 계단형 보상</x:v>
      </x:c>
      <x:c r="G34" s="214" t="str">
        <x:v>4. 최초 클리어 티켓 계단형 보상</x:v>
      </x:c>
      <x:c r="H34" s="215" t="str">
        <x:v>4. 최초 클리어 티켓 계단형 보상</x:v>
      </x:c>
    </x:row>
    <x:row r="35" ht="28" customHeight="1">
      <x:c r="A35" s="221" t="str">
        <x:v>구간</x:v>
      </x:c>
      <x:c r="B35" s="221" t="str">
        <x:v>시작 R</x:v>
      </x:c>
      <x:c r="C35" s="221" t="str">
        <x:v>종료 R</x:v>
      </x:c>
      <x:c r="D35" s="221" t="str">
        <x:v>라운드당 티켓</x:v>
      </x:c>
      <x:c r="E35" s="221" t="str">
        <x:v>라운드 수</x:v>
      </x:c>
      <x:c r="F35" s="221" t="str">
        <x:v>구간 티켓</x:v>
      </x:c>
      <x:c r="G35" s="221" t="str">
        <x:v>누적 티켓</x:v>
      </x:c>
      <x:c r="H35" s="221" t="str">
        <x:v>정책</x:v>
      </x:c>
    </x:row>
    <x:row r="36" ht="40" customHeight="1">
      <x:c r="A36" s="226" t="str">
        <x:v>R1~10</x:v>
      </x:c>
      <x:c r="B36" s="226" t="n">
        <x:v>1</x:v>
      </x:c>
      <x:c r="C36" s="226" t="n">
        <x:v>10</x:v>
      </x:c>
      <x:c r="D36" s="226" t="n">
        <x:v>1</x:v>
      </x:c>
      <x:c r="E36" s="226" t="n">
        <x:f>C36-B36+1</x:f>
        <x:v>10</x:v>
      </x:c>
      <x:c r="F36" s="226" t="n">
        <x:f>D36*E36</x:f>
        <x:v>10</x:v>
      </x:c>
      <x:c r="G36" s="226" t="n">
        <x:f>SUM($F$36:F36)</x:f>
        <x:v>10</x:v>
      </x:c>
      <x:c r="H36" s="226" t="str">
        <x:v>최초 클리어 1회</x:v>
      </x:c>
    </x:row>
    <x:row r="37" ht="40" customHeight="1">
      <x:c r="A37" s="226" t="str">
        <x:v>R11~20</x:v>
      </x:c>
      <x:c r="B37" s="226" t="n">
        <x:v>11</x:v>
      </x:c>
      <x:c r="C37" s="226" t="n">
        <x:v>20</x:v>
      </x:c>
      <x:c r="D37" s="226" t="n">
        <x:v>2</x:v>
      </x:c>
      <x:c r="E37" s="226" t="n">
        <x:f>C37-B37+1</x:f>
        <x:v>10</x:v>
      </x:c>
      <x:c r="F37" s="226" t="n">
        <x:f>D37*E37</x:f>
        <x:v>20</x:v>
      </x:c>
      <x:c r="G37" s="226" t="n">
        <x:f>SUM($F$36:F37)</x:f>
        <x:v>30</x:v>
      </x:c>
      <x:c r="H37" s="226" t="str">
        <x:v>최초 클리어 1회</x:v>
      </x:c>
    </x:row>
    <x:row r="38" ht="40" customHeight="1">
      <x:c r="A38" s="226" t="str">
        <x:v>R21~30</x:v>
      </x:c>
      <x:c r="B38" s="226" t="n">
        <x:v>21</x:v>
      </x:c>
      <x:c r="C38" s="226" t="n">
        <x:v>30</x:v>
      </x:c>
      <x:c r="D38" s="226" t="n">
        <x:v>3</x:v>
      </x:c>
      <x:c r="E38" s="226" t="n">
        <x:f>C38-B38+1</x:f>
        <x:v>10</x:v>
      </x:c>
      <x:c r="F38" s="226" t="n">
        <x:f>D38*E38</x:f>
        <x:v>30</x:v>
      </x:c>
      <x:c r="G38" s="226" t="n">
        <x:f>SUM($F$36:F38)</x:f>
        <x:v>60</x:v>
      </x:c>
      <x:c r="H38" s="226" t="str">
        <x:v>최초 클리어 1회</x:v>
      </x:c>
    </x:row>
    <x:row r="39" ht="40" customHeight="1">
      <x:c r="A39" s="226" t="str">
        <x:v>R31~40</x:v>
      </x:c>
      <x:c r="B39" s="226" t="n">
        <x:v>31</x:v>
      </x:c>
      <x:c r="C39" s="226" t="n">
        <x:v>40</x:v>
      </x:c>
      <x:c r="D39" s="226" t="n">
        <x:v>4</x:v>
      </x:c>
      <x:c r="E39" s="226" t="n">
        <x:f>C39-B39+1</x:f>
        <x:v>10</x:v>
      </x:c>
      <x:c r="F39" s="226" t="n">
        <x:f>D39*E39</x:f>
        <x:v>40</x:v>
      </x:c>
      <x:c r="G39" s="226" t="n">
        <x:f>SUM($F$36:F39)</x:f>
        <x:v>100</x:v>
      </x:c>
      <x:c r="H39" s="226" t="str">
        <x:v>최초 클리어 1회</x:v>
      </x:c>
    </x:row>
    <x:row r="40" ht="40" customHeight="1">
      <x:c r="A40" s="226" t="str">
        <x:v>R41~50</x:v>
      </x:c>
      <x:c r="B40" s="226" t="n">
        <x:v>41</x:v>
      </x:c>
      <x:c r="C40" s="226" t="n">
        <x:v>50</x:v>
      </x:c>
      <x:c r="D40" s="226" t="n">
        <x:v>5</x:v>
      </x:c>
      <x:c r="E40" s="226" t="n">
        <x:f>C40-B40+1</x:f>
        <x:v>10</x:v>
      </x:c>
      <x:c r="F40" s="226" t="n">
        <x:f>D40*E40</x:f>
        <x:v>50</x:v>
      </x:c>
      <x:c r="G40" s="226" t="n">
        <x:f>SUM($F$36:F40)</x:f>
        <x:v>150</x:v>
      </x:c>
      <x:c r="H40" s="226" t="str">
        <x:v>최초 클리어 1회</x:v>
      </x:c>
    </x:row>
    <x:row r="42">
      <x:c r="A42" s="231" t="str">
        <x:v>R50까지 최초 클리어 총 티켓</x:v>
      </x:c>
      <x:c r="B42" s="231"/>
      <x:c r="C42" s="231"/>
      <x:c r="D42" s="231"/>
      <x:c r="E42" s="231"/>
      <x:c r="F42" s="231"/>
      <x:c r="G42" s="231" t="n">
        <x:f>SUM(F36:F40)</x:f>
        <x:v>150</x:v>
      </x:c>
      <x:c r="H42" s="231" t="str">
        <x:v>150장</x:v>
      </x:c>
    </x:row>
  </x:sheetData>
  <x:mergeCells>
    <x:mergeCell ref="A1:H1"/>
    <x:mergeCell ref="A2:H2"/>
    <x:mergeCell ref="A4:H4"/>
    <x:mergeCell ref="A15:H15"/>
    <x:mergeCell ref="A24:H24"/>
    <x:mergeCell ref="A34:H34"/>
    <x:mergeCell ref="A42:F42"/>
  </x:mergeCells>
  <x:conditionalFormatting sqref="G6:G13">
    <x:cfRule type="containsText" dxfId="0" priority="1" operator="containsText" text="확정"/>
    <x:cfRule type="containsText" dxfId="1" priority="2" operator="containsText" text="검증"/>
    <x:cfRule type="containsText" dxfId="2" priority="3" operator="containsText" text="미구현"/>
  </x:conditionalFormatting>
  <x:conditionalFormatting sqref="G26:G32">
    <x:cfRule type="containsText" dxfId="3" priority="4" operator="containsText" text="확정"/>
    <x:cfRule type="containsText" dxfId="4" priority="5" operator="containsText" text="검증"/>
    <x:cfRule type="containsText" dxfId="5" priority="6" operator="containsText" text="미구현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2" hidden="0" customWidth="1"/>
    <x:col min="5" max="5" width="28" hidden="0" customWidth="1"/>
    <x:col min="6" max="6" width="22" hidden="0" customWidth="1"/>
    <x:col min="7" max="7" width="20" hidden="0" customWidth="1"/>
    <x:col min="8" max="8" width="20" hidden="0" customWidth="1"/>
    <x:col min="9" max="9" width="34" hidden="0" customWidth="1"/>
  </x:cols>
  <x:sheetData>
    <x:row r="1" ht="30" customHeight="1">
      <x:c r="A1" s="202" t="str">
        <x:v>얏찌 보상 모드 제작 명세</x:v>
      </x:c>
      <x:c r="B1" s="202"/>
      <x:c r="C1" s="202"/>
      <x:c r="D1" s="202"/>
      <x:c r="E1" s="202"/>
      <x:c r="F1" s="202"/>
      <x:c r="G1" s="202"/>
      <x:c r="H1" s="202"/>
      <x:c r="I1" s="202"/>
    </x:row>
    <x:row r="2" ht="28" customHeight="1">
      <x:c r="A2" s="207" t="str">
        <x:v>티켓 1장으로 세션을 열고, 골드 재굴림·다이아 홀드로 111~666 배수를 노린 뒤 배수 각인 상자를 얻는다.</x:v>
      </x:c>
      <x:c r="B2" s="207"/>
      <x:c r="C2" s="207"/>
      <x:c r="D2" s="207"/>
      <x:c r="E2" s="207"/>
      <x:c r="F2" s="207"/>
      <x:c r="G2" s="207"/>
      <x:c r="H2" s="207"/>
      <x:c r="I2" s="207"/>
    </x:row>
    <x:row r="4" ht="24" customHeight="1">
      <x:c r="A4" s="213" t="str">
        <x:v>1. 세션 흐름</x:v>
      </x:c>
      <x:c r="B4" s="214" t="str">
        <x:v>1. 세션 흐름</x:v>
      </x:c>
      <x:c r="C4" s="214" t="str">
        <x:v>1. 세션 흐름</x:v>
      </x:c>
      <x:c r="D4" s="214" t="str">
        <x:v>1. 세션 흐름</x:v>
      </x:c>
      <x:c r="E4" s="214" t="str">
        <x:v>1. 세션 흐름</x:v>
      </x:c>
      <x:c r="F4" s="214" t="str">
        <x:v>1. 세션 흐름</x:v>
      </x:c>
      <x:c r="G4" s="214" t="str">
        <x:v>1. 세션 흐름</x:v>
      </x:c>
      <x:c r="H4" s="214" t="str">
        <x:v>1. 세션 흐름</x:v>
      </x:c>
      <x:c r="I4" s="215" t="str">
        <x:v>1. 세션 흐름</x:v>
      </x:c>
    </x:row>
    <x:row r="5" ht="28" customHeight="1">
      <x:c r="A5" s="221" t="str">
        <x:v>순서</x:v>
      </x:c>
      <x:c r="B5" s="221" t="str">
        <x:v>상태/행동</x:v>
      </x:c>
      <x:c r="C5" s="221" t="str">
        <x:v>비용</x:v>
      </x:c>
      <x:c r="D5" s="221" t="str">
        <x:v>저장 상태</x:v>
      </x:c>
      <x:c r="E5" s="221" t="str">
        <x:v>결과</x:v>
      </x:c>
      <x:c r="F5" s="221" t="str">
        <x:v>예외 처리</x:v>
      </x:c>
      <x:c r="G5" s="221" t="str">
        <x:v>상태</x:v>
      </x:c>
      <x:c r="H5" s="221" t="str">
        <x:v>수용 기준</x:v>
      </x:c>
      <x:c r="I5" s="221" t="str">
        <x:v>비고</x:v>
      </x:c>
    </x:row>
    <x:row r="6" ht="40" customHeight="1">
      <x:c r="A6" s="226" t="n">
        <x:v>1</x:v>
      </x:c>
      <x:c r="B6" s="226" t="str">
        <x:v>입장: 티켓 1장 사용</x:v>
      </x:c>
      <x:c r="C6" s="226" t="str">
        <x:v>티켓 1</x:v>
      </x:c>
      <x:c r="D6" s="226" t="str">
        <x:v>ticketConsumed·sessionId</x:v>
      </x:c>
      <x:c r="E6" s="226" t="str">
        <x:v>주사위 3개 준비</x:v>
      </x:c>
      <x:c r="F6" s="226" t="str">
        <x:v>부족 시 충전 팝업</x:v>
      </x:c>
      <x:c r="G6" s="226" t="str">
        <x:v>설계 확정·미구현</x:v>
      </x:c>
      <x:c r="H6" s="226" t="str">
        <x:v>중복 차감 0</x:v>
      </x:c>
      <x:c r="I6" s="226" t="str">
        <x:v>티켓 1장=세션 1회</x:v>
      </x:c>
    </x:row>
    <x:row r="7" ht="40" customHeight="1">
      <x:c r="A7" s="226" t="n">
        <x:v>2</x:v>
      </x:c>
      <x:c r="B7" s="226" t="str">
        <x:v>첫 굴림</x:v>
      </x:c>
      <x:c r="C7" s="226" t="str">
        <x:v>무료 권장</x:v>
      </x:c>
      <x:c r="D7" s="226" t="str">
        <x:v>dice values</x:v>
      </x:c>
      <x:c r="E7" s="226" t="str">
        <x:v>각 면 1/6</x:v>
      </x:c>
      <x:c r="F7" s="226" t="str">
        <x:v>재접속 값 복구</x:v>
      </x:c>
      <x:c r="G7" s="226" t="str">
        <x:v>최종 확인 필요</x:v>
      </x:c>
      <x:c r="H7" s="226" t="str">
        <x:v>숨은 보정 없음</x:v>
      </x:c>
      <x:c r="I7" s="226" t="str">
        <x:v>첫 굴림 유료 여부는 최종 결정</x:v>
      </x:c>
    </x:row>
    <x:row r="8" ht="40" customHeight="1">
      <x:c r="A8" s="226" t="n">
        <x:v>3</x:v>
      </x:c>
      <x:c r="B8" s="226" t="str">
        <x:v>재굴림: 미고정 주사위</x:v>
      </x:c>
      <x:c r="C8" s="226" t="str">
        <x:v>계정 골드 100 고정</x:v>
      </x:c>
      <x:c r="D8" s="226" t="str">
        <x:v>rollIndex·goldSpent</x:v>
      </x:c>
      <x:c r="E8" s="226" t="str">
        <x:v>횟수 제한 없음</x:v>
      </x:c>
      <x:c r="F8" s="226" t="str">
        <x:v>골드 부족 충전</x:v>
      </x:c>
      <x:c r="G8" s="226" t="str">
        <x:v>정책 확정·미구현</x:v>
      </x:c>
      <x:c r="H8" s="226" t="str">
        <x:v>가격 상승·천장·피티 없음</x:v>
      </x:c>
      <x:c r="I8" s="226" t="str">
        <x:v>666 도전 허용</x:v>
      </x:c>
    </x:row>
    <x:row r="9" ht="40" customHeight="1">
      <x:c r="A9" s="226" t="n">
        <x:v>4</x:v>
      </x:c>
      <x:c r="B9" s="226" t="str">
        <x:v>1차 홀드</x:v>
      </x:c>
      <x:c r="C9" s="226" t="str">
        <x:v>다이아 20</x:v>
      </x:c>
      <x:c r="D9" s="226" t="str">
        <x:v>held flags·holdStep</x:v>
      </x:c>
      <x:c r="E9" s="226" t="str">
        <x:v>선택 주사위 고정</x:v>
      </x:c>
      <x:c r="F9" s="226" t="str">
        <x:v>다이아 부족 충전</x:v>
      </x:c>
      <x:c r="G9" s="226" t="str">
        <x:v>정책 확정·미구현</x:v>
      </x:c>
      <x:c r="H9" s="226" t="str">
        <x:v>구매/취소 후 상태 유지</x:v>
      </x:c>
      <x:c r="I9" s="226" t="str">
        <x:v>최대 2회 중 1회</x:v>
      </x:c>
    </x:row>
    <x:row r="10" ht="40" customHeight="1">
      <x:c r="A10" s="226" t="n">
        <x:v>5</x:v>
      </x:c>
      <x:c r="B10" s="226" t="str">
        <x:v>2차 홀드</x:v>
      </x:c>
      <x:c r="C10" s="226" t="str">
        <x:v>다이아 50</x:v>
      </x:c>
      <x:c r="D10" s="226" t="str">
        <x:v>held flags·holdStep</x:v>
      </x:c>
      <x:c r="E10" s="226" t="str">
        <x:v>추가 고정</x:v>
      </x:c>
      <x:c r="F10" s="226" t="str">
        <x:v>다이아 부족 충전</x:v>
      </x:c>
      <x:c r="G10" s="226" t="str">
        <x:v>정책 확정·미구현</x:v>
      </x:c>
      <x:c r="H10" s="226" t="str">
        <x:v>홀드 최대 2회</x:v>
      </x:c>
      <x:c r="I10" s="226" t="str">
        <x:v>최종 고정</x:v>
      </x:c>
    </x:row>
    <x:row r="11" ht="40" customHeight="1">
      <x:c r="A11" s="226" t="n">
        <x:v>6</x:v>
      </x:c>
      <x:c r="B11" s="226" t="str">
        <x:v>현재 결과 확정</x:v>
      </x:c>
      <x:c r="C11" s="226" t="str">
        <x:v>추가 비용 없음</x:v>
      </x:c>
      <x:c r="D11" s="226" t="str">
        <x:v>confirmed·multiplier</x:v>
      </x:c>
      <x:c r="E11" s="226" t="str">
        <x:v>111~666은 1~6배, 기타 1배</x:v>
      </x:c>
      <x:c r="F11" s="226" t="str">
        <x:v>중복 확정 방지</x:v>
      </x:c>
      <x:c r="G11" s="226" t="str">
        <x:v>정책 확정·미구현</x:v>
      </x:c>
      <x:c r="H11" s="226" t="str">
        <x:v>현재 배수/누적 소비 항상 표시</x:v>
      </x:c>
      <x:c r="I11" s="226" t="str">
        <x:v>언제든 확정 가능</x:v>
      </x:c>
    </x:row>
    <x:row r="12" ht="40" customHeight="1">
      <x:c r="A12" s="226" t="n">
        <x:v>7</x:v>
      </x:c>
      <x:c r="B12" s="226" t="str">
        <x:v>상자 발급</x:v>
      </x:c>
      <x:c r="C12" s="226" t="str">
        <x:v>세션 종료</x:v>
      </x:c>
      <x:c r="D12" s="226" t="str">
        <x:v>RewardChestInstance</x:v>
      </x:c>
      <x:c r="E12" s="226" t="str">
        <x:v>배수 각인 상자 1개</x:v>
      </x:c>
      <x:c r="F12" s="226" t="str">
        <x:v>idempotency key</x:v>
      </x:c>
      <x:c r="G12" s="226" t="str">
        <x:v>설계 확정·미구현</x:v>
      </x:c>
      <x:c r="H12" s="226" t="str">
        <x:v>티켓당 상자 1개</x:v>
      </x:c>
      <x:c r="I12" s="226" t="str">
        <x:v>출처/배수/버전 저장</x:v>
      </x:c>
    </x:row>
    <x:row r="13" ht="40" customHeight="1">
      <x:c r="A13" s="226" t="n">
        <x:v>8</x:v>
      </x:c>
      <x:c r="B13" s="226" t="str">
        <x:v>상자 보관</x:v>
      </x:c>
      <x:c r="C13" s="226" t="str">
        <x:v>-</x:v>
      </x:c>
      <x:c r="D13" s="226" t="str">
        <x:v>ChestInventory</x:v>
      </x:c>
      <x:c r="E13" s="226" t="str">
        <x:v>누적 보관</x:v>
      </x:c>
      <x:c r="F13" s="226" t="str">
        <x:v>보관 한도 미정</x:v>
      </x:c>
      <x:c r="G13" s="226" t="str">
        <x:v>설계 확정·미구현</x:v>
      </x:c>
      <x:c r="H13" s="226" t="str">
        <x:v>재접속 수량 보존</x:v>
      </x:c>
      <x:c r="I13" s="226" t="str">
        <x:v>1/10/전부 개봉</x:v>
      </x:c>
    </x:row>
    <x:row r="14" ht="40" customHeight="1">
      <x:c r="A14" s="226" t="n">
        <x:v>9</x:v>
      </x:c>
      <x:c r="B14" s="226" t="str">
        <x:v>상자 개봉</x:v>
      </x:c>
      <x:c r="C14" s="226" t="str">
        <x:v>-</x:v>
      </x:c>
      <x:c r="D14" s="226" t="str">
        <x:v>개봉 트랜잭션</x:v>
      </x:c>
      <x:c r="E14" s="226" t="str">
        <x:v>골드·다이아·유닛/조각</x:v>
      </x:c>
      <x:c r="F14" s="226" t="str">
        <x:v>중단 후 자동 복구</x:v>
      </x:c>
      <x:c r="G14" s="226" t="str">
        <x:v>설계 확정·미구현</x:v>
      </x:c>
      <x:c r="H14" s="226" t="str">
        <x:v>중복/유실 0</x:v>
      </x:c>
      <x:c r="I14" s="226" t="str">
        <x:v>카드 순차 공개</x:v>
      </x:c>
    </x:row>
    <x:row r="15" ht="40" customHeight="1">
      <x:c r="A15" s="226" t="n">
        <x:v>10</x:v>
      </x:c>
      <x:c r="B15" s="226" t="str">
        <x:v>세션 종료</x:v>
      </x:c>
      <x:c r="C15" s="226" t="str">
        <x:v>-</x:v>
      </x:c>
      <x:c r="D15" s="226" t="str">
        <x:v>임시 상태 정리</x:v>
      </x:c>
      <x:c r="E15" s="226" t="str">
        <x:v>다음 티켓 대기</x:v>
      </x:c>
      <x:c r="F15" s="226" t="str">
        <x:v>구매 팝업은 세션 종료 안 함</x:v>
      </x:c>
      <x:c r="G15" s="226" t="str">
        <x:v>확정</x:v>
      </x:c>
      <x:c r="H15" s="226" t="str">
        <x:v>이전 주사위/홀드 미잔류</x:v>
      </x:c>
      <x:c r="I15" s="226" t="str">
        <x:v>재진입 새 세션</x:v>
      </x:c>
    </x:row>
    <x:row r="17" ht="24" customHeight="1">
      <x:c r="A17" s="213" t="str">
        <x:v>2. 경제 수식과 배수</x:v>
      </x:c>
      <x:c r="B17" s="214" t="str">
        <x:v>2. 경제 수식과 배수</x:v>
      </x:c>
      <x:c r="C17" s="214" t="str">
        <x:v>2. 경제 수식과 배수</x:v>
      </x:c>
      <x:c r="D17" s="214" t="str">
        <x:v>2. 경제 수식과 배수</x:v>
      </x:c>
      <x:c r="E17" s="214" t="str">
        <x:v>2. 경제 수식과 배수</x:v>
      </x:c>
      <x:c r="F17" s="214" t="str">
        <x:v>2. 경제 수식과 배수</x:v>
      </x:c>
      <x:c r="G17" s="214" t="str">
        <x:v>2. 경제 수식과 배수</x:v>
      </x:c>
      <x:c r="H17" s="214" t="str">
        <x:v>2. 경제 수식과 배수</x:v>
      </x:c>
      <x:c r="I17" s="215" t="str">
        <x:v>2. 경제 수식과 배수</x:v>
      </x:c>
    </x:row>
    <x:row r="18" ht="28" customHeight="1">
      <x:c r="A18" s="221" t="str">
        <x:v>파라미터</x:v>
      </x:c>
      <x:c r="B18" s="221" t="str">
        <x:v>값</x:v>
      </x:c>
      <x:c r="C18" s="221" t="str">
        <x:v>단위</x:v>
      </x:c>
      <x:c r="D18" s="221" t="str">
        <x:v>계산/의미</x:v>
      </x:c>
      <x:c r="E18" s="221" t="str">
        <x:v>상태</x:v>
      </x:c>
      <x:c r="F18" s="221" t="str">
        <x:v>가드레일</x:v>
      </x:c>
      <x:c r="G18" s="221" t="str">
        <x:v>조합</x:v>
      </x:c>
      <x:c r="H18" s="221" t="str">
        <x:v>배수</x:v>
      </x:c>
      <x:c r="I18" s="221" t="str">
        <x:v>적용</x:v>
      </x:c>
    </x:row>
    <x:row r="19" ht="40" customHeight="1">
      <x:c r="A19" s="226" t="str">
        <x:v>특정 면 성공확률</x:v>
      </x:c>
      <x:c r="B19" s="232" t="n">
        <x:v>0.16666666666666666</x:v>
      </x:c>
      <x:c r="C19" s="226" t="str">
        <x:v>확률</x:v>
      </x:c>
      <x:c r="D19" s="226" t="str">
        <x:v>각 면 균등 1/6</x:v>
      </x:c>
      <x:c r="E19" s="226" t="str">
        <x:v>확정</x:v>
      </x:c>
      <x:c r="F19" s="226" t="str">
        <x:v>숨은 확률 보정 금지</x:v>
      </x:c>
      <x:c r="G19" s="226" t="str">
        <x:v>111</x:v>
      </x:c>
      <x:c r="H19" s="226" t="n">
        <x:v>1</x:v>
      </x:c>
      <x:c r="I19" s="226" t="str">
        <x:v>보상 수량 ×1</x:v>
      </x:c>
    </x:row>
    <x:row r="20" ht="40" customHeight="1">
      <x:c r="A20" s="226" t="str">
        <x:v>주사위 수</x:v>
      </x:c>
      <x:c r="B20" s="233" t="n">
        <x:v>3</x:v>
      </x:c>
      <x:c r="C20" s="226" t="str">
        <x:v>개</x:v>
      </x:c>
      <x:c r="D20" s="226" t="str">
        <x:v>3개</x:v>
      </x:c>
      <x:c r="E20" s="226" t="str">
        <x:v>확정</x:v>
      </x:c>
      <x:c r="F20" s="226" t="str">
        <x:v>홀드와 상태 저장</x:v>
      </x:c>
      <x:c r="G20" s="226" t="str">
        <x:v>222</x:v>
      </x:c>
      <x:c r="H20" s="226" t="n">
        <x:v>2</x:v>
      </x:c>
      <x:c r="I20" s="226" t="str">
        <x:v>보상 수량 ×2</x:v>
      </x:c>
    </x:row>
    <x:row r="21" ht="40" customHeight="1">
      <x:c r="A21" s="226" t="str">
        <x:v>재굴림 단가</x:v>
      </x:c>
      <x:c r="B21" s="233" t="n">
        <x:v>100</x:v>
      </x:c>
      <x:c r="C21" s="226" t="str">
        <x:v>계정 골드/회</x:v>
      </x:c>
      <x:c r="D21" s="226" t="str">
        <x:v>항상 절대가격 100</x:v>
      </x:c>
      <x:c r="E21" s="226" t="str">
        <x:v>확정</x:v>
      </x:c>
      <x:c r="F21" s="226" t="str">
        <x:v>보유량에 따른 할인 금지</x:v>
      </x:c>
      <x:c r="G21" s="226" t="str">
        <x:v>333</x:v>
      </x:c>
      <x:c r="H21" s="226" t="n">
        <x:v>3</x:v>
      </x:c>
      <x:c r="I21" s="226" t="str">
        <x:v>보상 수량 ×3</x:v>
      </x:c>
    </x:row>
    <x:row r="22" ht="40" customHeight="1">
      <x:c r="A22" s="226" t="str">
        <x:v>특정 숫자 3개 기대 총 굴림</x:v>
      </x:c>
      <x:c r="B22" s="233" t="n">
        <x:f>B20/B19</x:f>
        <x:v>18</x:v>
      </x:c>
      <x:c r="C22" s="226" t="str">
        <x:v>회</x:v>
      </x:c>
      <x:c r="D22" s="226" t="str">
        <x:v>3 ÷ 1/6 = 18</x:v>
      </x:c>
      <x:c r="E22" s="226" t="str">
        <x:v>수식</x:v>
      </x:c>
      <x:c r="F22" s="226" t="str">
        <x:v>666 목표 평균 참고</x:v>
      </x:c>
      <x:c r="G22" s="226" t="str">
        <x:v>444</x:v>
      </x:c>
      <x:c r="H22" s="226" t="n">
        <x:v>4</x:v>
      </x:c>
      <x:c r="I22" s="226" t="str">
        <x:v>보상 수량 ×4</x:v>
      </x:c>
    </x:row>
    <x:row r="23" ht="40" customHeight="1">
      <x:c r="A23" s="226" t="str">
        <x:v>첫 굴림 무료 시 기대 유료 재굴림</x:v>
      </x:c>
      <x:c r="B23" s="233" t="n">
        <x:f>B20*(1/B19-1)</x:f>
        <x:v>15</x:v>
      </x:c>
      <x:c r="C23" s="226" t="str">
        <x:v>회</x:v>
      </x:c>
      <x:c r="D23" s="226" t="str">
        <x:v>3×(6-1)=15</x:v>
      </x:c>
      <x:c r="E23" s="226" t="str">
        <x:v>수식</x:v>
      </x:c>
      <x:c r="F23" s="226" t="str">
        <x:v>무료 첫 굴림 가정</x:v>
      </x:c>
      <x:c r="G23" s="226" t="str">
        <x:v>555</x:v>
      </x:c>
      <x:c r="H23" s="226" t="n">
        <x:v>5</x:v>
      </x:c>
      <x:c r="I23" s="226" t="str">
        <x:v>보상 수량 ×5</x:v>
      </x:c>
    </x:row>
    <x:row r="24" ht="40" customHeight="1">
      <x:c r="A24" s="226" t="str">
        <x:v>첫 굴림 무료 시 기대 골드</x:v>
      </x:c>
      <x:c r="B24" s="233" t="n">
        <x:f>B23*B21</x:f>
        <x:v>1500</x:v>
      </x:c>
      <x:c r="C24" s="226" t="str">
        <x:v>계정 골드</x:v>
      </x:c>
      <x:c r="D24" s="226" t="str">
        <x:v>15×100=1,500</x:v>
      </x:c>
      <x:c r="E24" s="226" t="str">
        <x:v>검증 필요</x:v>
      </x:c>
      <x:c r="F24" s="226" t="str">
        <x:v>계정 골드 공급과 비교</x:v>
      </x:c>
      <x:c r="G24" s="226" t="str">
        <x:v>666</x:v>
      </x:c>
      <x:c r="H24" s="226" t="n">
        <x:v>6</x:v>
      </x:c>
      <x:c r="I24" s="226" t="str">
        <x:v>보상 수량 ×6</x:v>
      </x:c>
    </x:row>
    <x:row r="25" ht="40" customHeight="1">
      <x:c r="A25" s="226" t="str">
        <x:v>전부 유료 참고</x:v>
      </x:c>
      <x:c r="B25" s="233" t="n">
        <x:f>B22*B21</x:f>
        <x:v>1800</x:v>
      </x:c>
      <x:c r="C25" s="226" t="str">
        <x:v>계정 골드</x:v>
      </x:c>
      <x:c r="D25" s="226" t="str">
        <x:v>18×100=1,800</x:v>
      </x:c>
      <x:c r="E25" s="226" t="str">
        <x:v>비교</x:v>
      </x:c>
      <x:c r="F25" s="226" t="str">
        <x:v>첫 굴림 유료 시 참고</x:v>
      </x:c>
    </x:row>
    <x:row r="26" ht="40" customHeight="1">
      <x:c r="A26" s="226" t="str">
        <x:v>홀드 총 다이아</x:v>
      </x:c>
      <x:c r="B26" s="233" t="n">
        <x:f>20+50</x:f>
        <x:v>70</x:v>
      </x:c>
      <x:c r="C26" s="226" t="str">
        <x:v>다이아</x:v>
      </x:c>
      <x:c r="D26" s="226" t="str">
        <x:v>20+50=70</x:v>
      </x:c>
      <x:c r="E26" s="226" t="str">
        <x:v>확정</x:v>
      </x:c>
      <x:c r="F26" s="226" t="str">
        <x:v>2회로 종료</x:v>
      </x:c>
    </x:row>
    <x:row r="28" ht="24" customHeight="1">
      <x:c r="A28" s="213" t="str">
        <x:v>3. 보상·상자·충전</x:v>
      </x:c>
      <x:c r="B28" s="214" t="str">
        <x:v>3. 보상·상자·충전</x:v>
      </x:c>
      <x:c r="C28" s="214" t="str">
        <x:v>3. 보상·상자·충전</x:v>
      </x:c>
      <x:c r="D28" s="214" t="str">
        <x:v>3. 보상·상자·충전</x:v>
      </x:c>
      <x:c r="E28" s="214" t="str">
        <x:v>3. 보상·상자·충전</x:v>
      </x:c>
      <x:c r="F28" s="214" t="str">
        <x:v>3. 보상·상자·충전</x:v>
      </x:c>
      <x:c r="G28" s="214" t="str">
        <x:v>3. 보상·상자·충전</x:v>
      </x:c>
      <x:c r="H28" s="214" t="str">
        <x:v>3. 보상·상자·충전</x:v>
      </x:c>
      <x:c r="I28" s="215" t="str">
        <x:v>3. 보상·상자·충전</x:v>
      </x:c>
    </x:row>
    <x:row r="29" ht="28" customHeight="1">
      <x:c r="A29" s="221" t="str">
        <x:v>구분</x:v>
      </x:c>
      <x:c r="B29" s="221" t="str">
        <x:v>초기 확률/가격</x:v>
      </x:c>
      <x:c r="C29" s="221" t="str">
        <x:v>연출·표시</x:v>
      </x:c>
      <x:c r="D29" s="221" t="str">
        <x:v>배수 적용</x:v>
      </x:c>
      <x:c r="E29" s="221" t="str">
        <x:v>중요 원칙</x:v>
      </x:c>
      <x:c r="F29" s="221" t="str">
        <x:v>상태</x:v>
      </x:c>
      <x:c r="G29" s="221" t="str">
        <x:v>구현 대상</x:v>
      </x:c>
      <x:c r="H29" s="221" t="str">
        <x:v>검증</x:v>
      </x:c>
      <x:c r="I29" s="221" t="str">
        <x:v>비고</x:v>
      </x:c>
    </x:row>
    <x:row r="30" ht="40" customHeight="1">
      <x:c r="A30" s="226" t="str">
        <x:v>계정 골드</x:v>
      </x:c>
      <x:c r="B30" s="232" t="n">
        <x:v>0.7</x:v>
      </x:c>
      <x:c r="C30" s="226" t="str">
        <x:v>노랑 카드</x:v>
      </x:c>
      <x:c r="D30" s="226" t="str">
        <x:v>수량 ×N</x:v>
      </x:c>
      <x:c r="E30" s="226" t="str">
        <x:v>희귀도 확률에는 영향 없음</x:v>
      </x:c>
      <x:c r="F30" s="226" t="str">
        <x:v>초안·수치 검증</x:v>
      </x:c>
      <x:c r="G30" s="226" t="str">
        <x:v>RewardPoolConfig</x:v>
      </x:c>
      <x:c r="H30" s="226" t="str">
        <x:v>재굴림 회수율</x:v>
      </x:c>
      <x:c r="I30" s="226" t="str">
        <x:v>기본 골드 묶음</x:v>
      </x:c>
    </x:row>
    <x:row r="31" ht="40" customHeight="1">
      <x:c r="A31" s="226" t="str">
        <x:v>다이아</x:v>
      </x:c>
      <x:c r="B31" s="232" t="n">
        <x:v>0.22</x:v>
      </x:c>
      <x:c r="C31" s="226" t="str">
        <x:v>보라 카드</x:v>
      </x:c>
      <x:c r="D31" s="226" t="str">
        <x:v>수량 ×N</x:v>
      </x:c>
      <x:c r="E31" s="226" t="str">
        <x:v>희귀도 확률에는 영향 없음</x:v>
      </x:c>
      <x:c r="F31" s="226" t="str">
        <x:v>초안·수치 검증</x:v>
      </x:c>
      <x:c r="G31" s="226" t="str">
        <x:v>RewardPoolConfig</x:v>
      </x:c>
      <x:c r="H31" s="226" t="str">
        <x:v>홀드·티켓 재소비</x:v>
      </x:c>
      <x:c r="I31" s="226" t="str">
        <x:v>기본 다이아 묶음</x:v>
      </x:c>
    </x:row>
    <x:row r="32" ht="40" customHeight="1">
      <x:c r="A32" s="226" t="str">
        <x:v>유닛/조각</x:v>
      </x:c>
      <x:c r="B32" s="232" t="n">
        <x:v>0.08</x:v>
      </x:c>
      <x:c r="C32" s="226" t="str">
        <x:v>등급 외곽선 카드</x:v>
      </x:c>
      <x:c r="D32" s="226" t="str">
        <x:v>카드/조각 수량 ×N</x:v>
      </x:c>
      <x:c r="E32" s="226" t="str">
        <x:v>등급 확률은 별도 테이블</x:v>
      </x:c>
      <x:c r="F32" s="226" t="str">
        <x:v>초안·수치 검증</x:v>
      </x:c>
      <x:c r="G32" s="226" t="str">
        <x:v>UnitRewardPool</x:v>
      </x:c>
      <x:c r="H32" s="226" t="str">
        <x:v>상위등급 월간 속도</x:v>
      </x:c>
      <x:c r="I32" s="226" t="str">
        <x:v>미보유 해금/보유 조각</x:v>
      </x:c>
    </x:row>
    <x:row r="33" ht="40" customHeight="1">
      <x:c r="A33" s="226" t="str">
        <x:v>확률 합계</x:v>
      </x:c>
      <x:c r="B33" s="232" t="n">
        <x:f>SUM(B30:B32)</x:f>
        <x:v>0.9999999999999999</x:v>
      </x:c>
      <x:c r="C33" s="226" t="str">
        <x:v>-</x:v>
      </x:c>
      <x:c r="D33" s="226" t="str">
        <x:v>-</x:v>
      </x:c>
      <x:c r="E33" s="226" t="str">
        <x:v>항상 100%</x:v>
      </x:c>
      <x:c r="F33" s="226" t="str">
        <x:v>검산</x:v>
      </x:c>
      <x:c r="G33" s="226" t="str">
        <x:v>수식</x:v>
      </x:c>
      <x:c r="H33" s="226" t="str">
        <x:v>합계 검산</x:v>
      </x:c>
      <x:c r="I33" s="226" t="str"/>
    </x:row>
    <x:row r="34" ht="40" customHeight="1">
      <x:c r="A34" s="226" t="str">
        <x:v>1개 개봉</x:v>
      </x:c>
      <x:c r="B34" s="226" t="str">
        <x:v>-</x:v>
      </x:c>
      <x:c r="C34" s="226" t="str">
        <x:v>카드 1장 회전 공개</x:v>
      </x:c>
      <x:c r="D34" s="226" t="str">
        <x:v>-</x:v>
      </x:c>
      <x:c r="E34" s="226" t="str">
        <x:v>바로 스킵 가능</x:v>
      </x:c>
      <x:c r="F34" s="226" t="str">
        <x:v>설계 확정·미구현</x:v>
      </x:c>
      <x:c r="G34" s="226" t="str">
        <x:v>ChestOpenFlow</x:v>
      </x:c>
      <x:c r="H34" s="226" t="str">
        <x:v>색/아이콘 식별</x:v>
      </x:c>
      <x:c r="I34" s="226" t="str">
        <x:v>단일 보상 강조</x:v>
      </x:c>
    </x:row>
    <x:row r="35" ht="40" customHeight="1">
      <x:c r="A35" s="226" t="str">
        <x:v>10개 개봉</x:v>
      </x:c>
      <x:c r="B35" s="226" t="str">
        <x:v>-</x:v>
      </x:c>
      <x:c r="C35" s="226" t="str">
        <x:v>앞 3장 공개→전체</x:v>
      </x:c>
      <x:c r="D35" s="226" t="str">
        <x:v>-</x:v>
      </x:c>
      <x:c r="E35" s="226" t="str">
        <x:v>고등급 별도 강조</x:v>
      </x:c>
      <x:c r="F35" s="226" t="str">
        <x:v>설계 확정·미구현</x:v>
      </x:c>
      <x:c r="G35" s="226" t="str">
        <x:v>ChestOpenFlow</x:v>
      </x:c>
      <x:c r="H35" s="226" t="str">
        <x:v>성능·중단 복구</x:v>
      </x:c>
      <x:c r="I35" s="226" t="str">
        <x:v>10개 그리드</x:v>
      </x:c>
    </x:row>
    <x:row r="36" ht="40" customHeight="1">
      <x:c r="A36" s="226" t="str">
        <x:v>전부 개봉</x:v>
      </x:c>
      <x:c r="B36" s="226" t="str">
        <x:v>-</x:v>
      </x:c>
      <x:c r="C36" s="226" t="str">
        <x:v>고등급 우선→요약</x:v>
      </x:c>
      <x:c r="D36" s="226" t="str">
        <x:v>-</x:v>
      </x:c>
      <x:c r="E36" s="226" t="str">
        <x:v>즉시 요약 가능</x:v>
      </x:c>
      <x:c r="F36" s="226" t="str">
        <x:v>설계 확정·미구현</x:v>
      </x:c>
      <x:c r="G36" s="226" t="str">
        <x:v>ChestOpenFlow</x:v>
      </x:c>
      <x:c r="H36" s="226" t="str">
        <x:v>대량 성능</x:v>
      </x:c>
      <x:c r="I36" s="226" t="str">
        <x:v>보상군/등급 합계</x:v>
      </x:c>
    </x:row>
    <x:row r="37" ht="40" customHeight="1">
      <x:c r="A37" s="226" t="str">
        <x:v>인세션 충전</x:v>
      </x:c>
      <x:c r="B37" s="226" t="str">
        <x:v>고정 SKU</x:v>
      </x:c>
      <x:c r="C37" s="226" t="str">
        <x:v>골드·다이아·티켓 + 버튼</x:v>
      </x:c>
      <x:c r="D37" s="226" t="str">
        <x:v>-</x:v>
      </x:c>
      <x:c r="E37" s="226" t="str">
        <x:v>구매 후 세션/주사위/홀드 보존, 자동 굴림 없음</x:v>
      </x:c>
      <x:c r="F37" s="226" t="str">
        <x:v>설계 확정·미구현</x:v>
      </x:c>
      <x:c r="G37" s="226" t="str">
        <x:v>CurrencyTopUpCatalog</x:v>
      </x:c>
      <x:c r="H37" s="226" t="str">
        <x:v>성공/취소/실패</x:v>
      </x:c>
      <x:c r="I37" s="226" t="str">
        <x:v>상점과 동일 가격</x:v>
      </x:c>
    </x:row>
    <x:row r="39" ht="24" customHeight="1">
      <x:c r="A39" s="213" t="str">
        <x:v>4. 운영 데이터와 반드시 확인할 미정 수치</x:v>
      </x:c>
      <x:c r="B39" s="214" t="str">
        <x:v>4. 운영 데이터와 반드시 확인할 미정 수치</x:v>
      </x:c>
      <x:c r="C39" s="214" t="str">
        <x:v>4. 운영 데이터와 반드시 확인할 미정 수치</x:v>
      </x:c>
      <x:c r="D39" s="214" t="str">
        <x:v>4. 운영 데이터와 반드시 확인할 미정 수치</x:v>
      </x:c>
      <x:c r="E39" s="214" t="str">
        <x:v>4. 운영 데이터와 반드시 확인할 미정 수치</x:v>
      </x:c>
      <x:c r="F39" s="214" t="str">
        <x:v>4. 운영 데이터와 반드시 확인할 미정 수치</x:v>
      </x:c>
      <x:c r="G39" s="214" t="str">
        <x:v>4. 운영 데이터와 반드시 확인할 미정 수치</x:v>
      </x:c>
      <x:c r="H39" s="214" t="str">
        <x:v>4. 운영 데이터와 반드시 확인할 미정 수치</x:v>
      </x:c>
      <x:c r="I39" s="215" t="str">
        <x:v>4. 운영 데이터와 반드시 확인할 미정 수치</x:v>
      </x:c>
    </x:row>
    <x:row r="40" ht="28" customHeight="1">
      <x:c r="A40" s="221" t="str">
        <x:v>항목</x:v>
      </x:c>
      <x:c r="B40" s="221" t="str">
        <x:v>필수 이벤트/입력</x:v>
      </x:c>
      <x:c r="C40" s="221" t="str">
        <x:v>목적</x:v>
      </x:c>
      <x:c r="D40" s="221" t="str">
        <x:v>상태</x:v>
      </x:c>
      <x:c r="E40" s="221" t="str">
        <x:v>결정 기준</x:v>
      </x:c>
      <x:c r="F40" s="221" t="str">
        <x:v>우선순위</x:v>
      </x:c>
      <x:c r="G40" s="221" t="str">
        <x:v>수용 기준</x:v>
      </x:c>
      <x:c r="H40" s="221" t="str">
        <x:v>데이터 대상</x:v>
      </x:c>
      <x:c r="I40" s="221" t="str">
        <x:v>비고</x:v>
      </x:c>
    </x:row>
    <x:row r="41" ht="40" customHeight="1">
      <x:c r="A41" s="226" t="str">
        <x:v>세션/굴림</x:v>
      </x:c>
      <x:c r="B41" s="226" t="str">
        <x:v>ticket_source·dice·held·goldSpent</x:v>
      </x:c>
      <x:c r="C41" s="226" t="str">
        <x:v>666 도전 비용·완주율</x:v>
      </x:c>
      <x:c r="D41" s="226" t="str">
        <x:v>미구현</x:v>
      </x:c>
      <x:c r="E41" s="226" t="str">
        <x:v>경제 시뮬레이션</x:v>
      </x:c>
      <x:c r="F41" s="226" t="str">
        <x:v>P0</x:v>
      </x:c>
      <x:c r="G41" s="226" t="str">
        <x:v>세션 중복 없음</x:v>
      </x:c>
      <x:c r="H41" s="226" t="str">
        <x:v>YatzySessionState</x:v>
      </x:c>
      <x:c r="I41" s="226" t="str">
        <x:v>roll/hold/confirm 로그</x:v>
      </x:c>
    </x:row>
    <x:row r="42" ht="40" customHeight="1">
      <x:c r="A42" s="226" t="str">
        <x:v>상자/보상</x:v>
      </x:c>
      <x:c r="B42" s="226" t="str">
        <x:v>count·multiplier·rewardType·grade</x:v>
      </x:c>
      <x:c r="C42" s="226" t="str">
        <x:v>보상 인플레이션</x:v>
      </x:c>
      <x:c r="D42" s="226" t="str">
        <x:v>미구현</x:v>
      </x:c>
      <x:c r="E42" s="226" t="str">
        <x:v>수량/등급 월간 기대값</x:v>
      </x:c>
      <x:c r="F42" s="226" t="str">
        <x:v>P0</x:v>
      </x:c>
      <x:c r="G42" s="226" t="str">
        <x:v>유실/중복 0</x:v>
      </x:c>
      <x:c r="H42" s="226" t="str">
        <x:v>RewardChestInstance</x:v>
      </x:c>
      <x:c r="I42" s="226" t="str">
        <x:v>개봉 배치 id</x:v>
      </x:c>
    </x:row>
    <x:row r="43" ht="40" customHeight="1">
      <x:c r="A43" s="226" t="str">
        <x:v>충전</x:v>
      </x:c>
      <x:c r="B43" s="226" t="str">
        <x:v>currency·sku·result</x:v>
      </x:c>
      <x:c r="C43" s="226" t="str">
        <x:v>부족 재화 전환율</x:v>
      </x:c>
      <x:c r="D43" s="226" t="str">
        <x:v>미구현</x:v>
      </x:c>
      <x:c r="E43" s="226" t="str">
        <x:v>SKU별 구매율</x:v>
      </x:c>
      <x:c r="F43" s="226" t="str">
        <x:v>P1</x:v>
      </x:c>
      <x:c r="G43" s="226" t="str">
        <x:v>세션 보존</x:v>
      </x:c>
      <x:c r="H43" s="226" t="str">
        <x:v>PurchaseFlow</x:v>
      </x:c>
      <x:c r="I43" s="226" t="str">
        <x:v>자동 롤 금지</x:v>
      </x:c>
    </x:row>
    <x:row r="44" ht="40" customHeight="1">
      <x:c r="A44" s="226" t="str">
        <x:v>소환</x:v>
      </x:c>
      <x:c r="B44" s="226" t="str">
        <x:v>round·grade·unit·weightReason</x:v>
      </x:c>
      <x:c r="C44" s="226" t="str">
        <x:v>신규 유닛 노출률</x:v>
      </x:c>
      <x:c r="D44" s="226" t="str">
        <x:v>미구현</x:v>
      </x:c>
      <x:c r="E44" s="226" t="str">
        <x:v>목표 점유율</x:v>
      </x:c>
      <x:c r="F44" s="226" t="str">
        <x:v>P1</x:v>
      </x:c>
      <x:c r="G44" s="226" t="str">
        <x:v>잠금 유닛 0</x:v>
      </x:c>
      <x:c r="H44" s="226" t="str">
        <x:v>ServiceSummonWeightResolver</x:v>
      </x:c>
      <x:c r="I44" s="226" t="str">
        <x:v>releaseWeek 포함</x:v>
      </x:c>
    </x:row>
    <x:row r="45" ht="40" customHeight="1">
      <x:c r="A45" s="226" t="str">
        <x:v>첫 굴림</x:v>
      </x:c>
      <x:c r="B45" s="226" t="str">
        <x:v>무료 권장</x:v>
      </x:c>
      <x:c r="C45" s="226" t="str">
        <x:v>체감/골드 sink</x:v>
      </x:c>
      <x:c r="D45" s="226" t="str">
        <x:v>최종 확인 필요</x:v>
      </x:c>
      <x:c r="E45" s="226" t="str">
        <x:v>평균 1,500G 기준</x:v>
      </x:c>
      <x:c r="F45" s="226" t="str">
        <x:v>P0</x:v>
      </x:c>
      <x:c r="G45" s="226" t="str">
        <x:v>정책 일치</x:v>
      </x:c>
      <x:c r="H45" s="226" t="str">
        <x:v>YatzyConfig</x:v>
      </x:c>
      <x:c r="I45" s="226" t="str">
        <x:v>무료/100G 결정</x:v>
      </x:c>
    </x:row>
    <x:row r="46" ht="40" customHeight="1">
      <x:c r="A46" s="226" t="str">
        <x:v>보상 확률</x:v>
      </x:c>
      <x:c r="B46" s="226" t="str">
        <x:v>70/22/8 초안</x:v>
      </x:c>
      <x:c r="C46" s="226" t="str">
        <x:v>보상 풀</x:v>
      </x:c>
      <x:c r="D46" s="226" t="str">
        <x:v>수치 검증 필요</x:v>
      </x:c>
      <x:c r="E46" s="226" t="str">
        <x:v>무과금 월간 기대값</x:v>
      </x:c>
      <x:c r="F46" s="226" t="str">
        <x:v>P0</x:v>
      </x:c>
      <x:c r="G46" s="226" t="str">
        <x:v>합계 100%</x:v>
      </x:c>
      <x:c r="H46" s="226" t="str">
        <x:v>RewardPoolConfig</x:v>
      </x:c>
      <x:c r="I46" s="226" t="str">
        <x:v>골드/다이아/유닛</x:v>
      </x:c>
    </x:row>
    <x:row r="47" ht="40" customHeight="1">
      <x:c r="A47" s="226" t="str">
        <x:v>신화/초월 확률</x:v>
      </x:c>
      <x:c r="B47" s="226" t="str">
        <x:v>채널만 확정</x:v>
      </x:c>
      <x:c r="C47" s="226" t="str">
        <x:v>상위등급 속도</x:v>
      </x:c>
      <x:c r="D47" s="226" t="str">
        <x:v>수치 검증 필요</x:v>
      </x:c>
      <x:c r="E47" s="226" t="str">
        <x:v>무료 월간 획득량</x:v>
      </x:c>
      <x:c r="F47" s="226" t="str">
        <x:v>P0</x:v>
      </x:c>
      <x:c r="G47" s="226" t="str">
        <x:v>무료 경로 존재</x:v>
      </x:c>
      <x:c r="H47" s="226" t="str">
        <x:v>UnitRewardPool</x:v>
      </x:c>
      <x:c r="I47" s="226" t="str">
        <x:v>피티는 얏찌 없음</x:v>
      </x:c>
    </x:row>
    <x:row r="48" ht="40" customHeight="1">
      <x:c r="A48" s="226" t="str">
        <x:v>보관 한도</x:v>
      </x:c>
      <x:c r="B48" s="226" t="str">
        <x:v>누적 가능</x:v>
      </x:c>
      <x:c r="C48" s="226" t="str">
        <x:v>UX/DB</x:v>
      </x:c>
      <x:c r="D48" s="226" t="str">
        <x:v>수치 검증 필요</x:v>
      </x:c>
      <x:c r="E48" s="226" t="str">
        <x:v>대량 개봉 성능</x:v>
      </x:c>
      <x:c r="F48" s="226" t="str">
        <x:v>P2</x:v>
      </x:c>
      <x:c r="G48" s="226" t="str">
        <x:v>재접속 보존</x:v>
      </x:c>
      <x:c r="H48" s="226" t="str">
        <x:v>ChestInventory</x:v>
      </x:c>
      <x:c r="I48" s="226" t="str">
        <x:v>한도/초과처리</x:v>
      </x:c>
    </x:row>
  </x:sheetData>
  <x:mergeCells>
    <x:mergeCell ref="A1:I1"/>
    <x:mergeCell ref="A2:I2"/>
    <x:mergeCell ref="A4:I4"/>
    <x:mergeCell ref="A17:I17"/>
    <x:mergeCell ref="A28:I28"/>
    <x:mergeCell ref="A39:I39"/>
  </x:mergeCells>
  <x:conditionalFormatting sqref="G6:G15">
    <x:cfRule type="containsText" dxfId="6" priority="1" operator="containsText" text="확정"/>
    <x:cfRule type="containsText" dxfId="7" priority="2" operator="containsText" text="검증"/>
    <x:cfRule type="containsText" dxfId="8" priority="3" operator="containsText" text="미구현"/>
  </x:conditionalFormatting>
  <x:conditionalFormatting sqref="E19:E26">
    <x:cfRule type="containsText" dxfId="9" priority="4" operator="containsText" text="확정"/>
    <x:cfRule type="containsText" dxfId="10" priority="5" operator="containsText" text="검증"/>
    <x:cfRule type="containsText" dxfId="11" priority="6" operator="containsText" text="미구현"/>
  </x:conditionalFormatting>
  <x:conditionalFormatting sqref="F30:F37">
    <x:cfRule type="containsText" dxfId="12" priority="7" operator="containsText" text="확정"/>
    <x:cfRule type="containsText" dxfId="13" priority="8" operator="containsText" text="검증"/>
    <x:cfRule type="containsText" dxfId="14" priority="9" operator="containsText" text="미구현"/>
  </x:conditionalFormatting>
  <x:conditionalFormatting sqref="D41:D48">
    <x:cfRule type="containsText" dxfId="15" priority="10" operator="containsText" text="확정"/>
    <x:cfRule type="containsText" dxfId="16" priority="11" operator="containsText" text="검증"/>
    <x:cfRule type="containsText" dxfId="17" priority="12" operator="containsText" text="미구현"/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34" hidden="0" customWidth="1"/>
    <x:col min="4" max="4" width="30" hidden="0" customWidth="1"/>
    <x:col min="5" max="5" width="28" hidden="0" customWidth="1"/>
    <x:col min="6" max="6" width="28" hidden="0" customWidth="1"/>
    <x:col min="7" max="7" width="18" hidden="0" customWidth="1"/>
    <x:col min="8" max="8" width="34" hidden="0" customWidth="1"/>
  </x:cols>
  <x:sheetData>
    <x:row r="1" ht="30" customHeight="1">
      <x:c r="A1" s="202" t="str">
        <x:v>서비스 소환 가중치 · 신규 유닛 노출 정책</x:v>
      </x:c>
      <x:c r="B1" s="202"/>
      <x:c r="C1" s="202"/>
      <x:c r="D1" s="202"/>
      <x:c r="E1" s="202"/>
      <x:c r="F1" s="202"/>
      <x:c r="G1" s="202"/>
      <x:c r="H1" s="202"/>
    </x:row>
    <x:row r="2" ht="28" customHeight="1">
      <x:c r="A2" s="207" t="str">
        <x:v>등급 확률은 유지하고, 등급이 결정된 뒤 보유 유닛 풀 내부에서 신규·개인 신규·포커스 가중치를 정규화한다.</x:v>
      </x:c>
      <x:c r="B2" s="207"/>
      <x:c r="C2" s="207"/>
      <x:c r="D2" s="207"/>
      <x:c r="E2" s="207"/>
      <x:c r="F2" s="207"/>
      <x:c r="G2" s="207"/>
      <x:c r="H2" s="207"/>
    </x:row>
    <x:row r="4" ht="24" customHeight="1">
      <x:c r="A4" s="213" t="str">
        <x:v>1. 알고리즘</x:v>
      </x:c>
      <x:c r="B4" s="214" t="str">
        <x:v>1. 알고리즘</x:v>
      </x:c>
      <x:c r="C4" s="214" t="str">
        <x:v>1. 알고리즘</x:v>
      </x:c>
      <x:c r="D4" s="214" t="str">
        <x:v>1. 알고리즘</x:v>
      </x:c>
      <x:c r="E4" s="214" t="str">
        <x:v>1. 알고리즘</x:v>
      </x:c>
      <x:c r="F4" s="214" t="str">
        <x:v>1. 알고리즘</x:v>
      </x:c>
      <x:c r="G4" s="214" t="str">
        <x:v>1. 알고리즘</x:v>
      </x:c>
      <x:c r="H4" s="215" t="str">
        <x:v>1. 알고리즘</x:v>
      </x:c>
    </x:row>
    <x:row r="5" ht="28" customHeight="1">
      <x:c r="A5" s="221" t="str">
        <x:v>단계</x:v>
      </x:c>
      <x:c r="B5" s="221" t="str">
        <x:v>입력</x:v>
      </x:c>
      <x:c r="C5" s="221" t="str">
        <x:v>처리</x:v>
      </x:c>
      <x:c r="D5" s="221" t="str">
        <x:v>폴백</x:v>
      </x:c>
      <x:c r="E5" s="221" t="str">
        <x:v>불변 조건</x:v>
      </x:c>
      <x:c r="F5" s="221" t="str">
        <x:v>관리 데이터</x:v>
      </x:c>
      <x:c r="G5" s="221" t="str">
        <x:v>상태</x:v>
      </x:c>
      <x:c r="H5" s="221" t="str">
        <x:v>테스트</x:v>
      </x:c>
    </x:row>
    <x:row r="6" ht="40" customHeight="1">
      <x:c r="A6" s="226" t="n">
        <x:v>1</x:v>
      </x:c>
      <x:c r="B6" s="226" t="str">
        <x:v>현재 라운드</x:v>
      </x:c>
      <x:c r="C6" s="226" t="str">
        <x:v>소환확률_R1-50에서 등급 1회 추첨</x:v>
      </x:c>
      <x:c r="D6" s="226" t="str">
        <x:v>-</x:v>
      </x:c>
      <x:c r="E6" s="226" t="str">
        <x:v>가중치가 등급 확률 변경 금지</x:v>
      </x:c>
      <x:c r="F6" s="226" t="str">
        <x:v>SummonGradeTable</x:v>
      </x:c>
      <x:c r="G6" s="226" t="str">
        <x:v>기존</x:v>
      </x:c>
      <x:c r="H6" s="226" t="str">
        <x:v>ON/OFF 분포 비교</x:v>
      </x:c>
    </x:row>
    <x:row r="7" ht="40" customHeight="1">
      <x:c r="A7" s="226" t="n">
        <x:v>2</x:v>
      </x:c>
      <x:c r="B7" s="226" t="str">
        <x:v>보유 인벤</x:v>
      </x:c>
      <x:c r="C7" s="226" t="str">
        <x:v>해당 등급의 보유·활성 유닛만 필터</x:v>
      </x:c>
      <x:c r="D7" s="226" t="str">
        <x:v>없으면 하위 보유 등급</x:v>
      </x:c>
      <x:c r="E7" s="226" t="str">
        <x:v>잠금 유닛 0</x:v>
      </x:c>
      <x:c r="F7" s="226" t="str">
        <x:v>OwnedUnitInventory</x:v>
      </x:c>
      <x:c r="G7" s="226" t="str">
        <x:v>미구현</x:v>
      </x:c>
      <x:c r="H7" s="226" t="str">
        <x:v>빈 등급</x:v>
      </x:c>
    </x:row>
    <x:row r="8" ht="40" customHeight="1">
      <x:c r="A8" s="226" t="n">
        <x:v>3</x:v>
      </x:c>
      <x:c r="B8" s="226" t="str">
        <x:v>출시 캠페인</x:v>
      </x:c>
      <x:c r="C8" s="226" t="str">
        <x:v>주차별 신규 목표 점유율 적용</x:v>
      </x:c>
      <x:c r="D8" s="226" t="str">
        <x:v>대상 없으면 기본</x:v>
      </x:c>
      <x:c r="E8" s="226" t="str">
        <x:v>같은 등급 내부만</x:v>
      </x:c>
      <x:c r="F8" s="226" t="str">
        <x:v>ServiceReleaseWeightConfig</x:v>
      </x:c>
      <x:c r="G8" s="226" t="str">
        <x:v>미구현</x:v>
      </x:c>
      <x:c r="H8" s="226" t="str">
        <x:v>풀 3/8/20</x:v>
      </x:c>
    </x:row>
    <x:row r="9" ht="40" customHeight="1">
      <x:c r="A9" s="226" t="n">
        <x:v>4</x:v>
      </x:c>
      <x:c r="B9" s="226" t="str">
        <x:v>개인 신규</x:v>
      </x:c>
      <x:c r="C9" s="226" t="str">
        <x:v>획득 후 첫 3런, 같은 등급 내 목표 50%</x:v>
      </x:c>
      <x:c r="D9" s="226" t="str">
        <x:v>기간 종료 후 제거</x:v>
      </x:c>
      <x:c r="E9" s="226" t="str">
        <x:v>등급 확률 증가 아님</x:v>
      </x:c>
      <x:c r="F9" s="226" t="str">
        <x:v>PersonalDiscoveryBoost</x:v>
      </x:c>
      <x:c r="G9" s="226" t="str">
        <x:v>미구현</x:v>
      </x:c>
      <x:c r="H9" s="226" t="str">
        <x:v>재접속/런 종료</x:v>
      </x:c>
    </x:row>
    <x:row r="10" ht="40" customHeight="1">
      <x:c r="A10" s="226" t="n">
        <x:v>5</x:v>
      </x:c>
      <x:c r="B10" s="226" t="str">
        <x:v>포커스</x:v>
      </x:c>
      <x:c r="C10" s="226" t="str">
        <x:v>최대 3기, 기본 가중치 +50%</x:v>
      </x:c>
      <x:c r="D10" s="226" t="str">
        <x:v>미설정 없음</x:v>
      </x:c>
      <x:c r="E10" s="226" t="str">
        <x:v>보유 유닛만</x:v>
      </x:c>
      <x:c r="F10" s="226" t="str">
        <x:v>FocusUnitSlots</x:v>
      </x:c>
      <x:c r="G10" s="226" t="str">
        <x:v>선택안</x:v>
      </x:c>
      <x:c r="H10" s="226" t="str">
        <x:v>잠금 유닛</x:v>
      </x:c>
    </x:row>
    <x:row r="11" ht="40" customHeight="1">
      <x:c r="A11" s="226" t="n">
        <x:v>6</x:v>
      </x:c>
      <x:c r="B11" s="226" t="str">
        <x:v>정규화</x:v>
      </x:c>
      <x:c r="C11" s="226" t="str">
        <x:v>캠페인→개인 신규→포커스 순으로 정규화</x:v>
      </x:c>
      <x:c r="D11" s="226" t="str">
        <x:v>합계 100%</x:v>
      </x:c>
      <x:c r="E11" s="226" t="str">
        <x:v>단일 80% 상한 권장</x:v>
      </x:c>
      <x:c r="F11" s="226" t="str">
        <x:v>ServiceSummonWeightResolver</x:v>
      </x:c>
      <x:c r="G11" s="226" t="str">
        <x:v>검증 필요</x:v>
      </x:c>
      <x:c r="H11" s="226" t="str">
        <x:v>중첩</x:v>
      </x:c>
    </x:row>
    <x:row r="12" ht="40" customHeight="1">
      <x:c r="A12" s="226" t="n">
        <x:v>7</x:v>
      </x:c>
      <x:c r="B12" s="226" t="str">
        <x:v>선택/로그</x:v>
      </x:c>
      <x:c r="C12" s="226" t="str">
        <x:v>가중 랜덤 1기와 선택 이유 기록</x:v>
      </x:c>
      <x:c r="D12" s="226" t="str">
        <x:v>후보 1기면 확정</x:v>
      </x:c>
      <x:c r="E12" s="226" t="str">
        <x:v>분포 재현 가능</x:v>
      </x:c>
      <x:c r="F12" s="226" t="str">
        <x:v>SummonPickResult</x:v>
      </x:c>
      <x:c r="G12" s="226" t="str">
        <x:v>미구현</x:v>
      </x:c>
      <x:c r="H12" s="226" t="str">
        <x:v>백만회 시뮬</x:v>
      </x:c>
    </x:row>
    <x:row r="14" ht="24" customHeight="1">
      <x:c r="A14" s="213" t="str">
        <x:v>2. 출시 주차별 신규 유닛 점유율</x:v>
      </x:c>
      <x:c r="B14" s="214" t="str">
        <x:v>2. 출시 주차별 신규 유닛 점유율</x:v>
      </x:c>
      <x:c r="C14" s="214" t="str">
        <x:v>2. 출시 주차별 신규 유닛 점유율</x:v>
      </x:c>
      <x:c r="D14" s="214" t="str">
        <x:v>2. 출시 주차별 신규 유닛 점유율</x:v>
      </x:c>
      <x:c r="E14" s="214" t="str">
        <x:v>2. 출시 주차별 신규 유닛 점유율</x:v>
      </x:c>
      <x:c r="F14" s="214" t="str">
        <x:v>2. 출시 주차별 신규 유닛 점유율</x:v>
      </x:c>
      <x:c r="G14" s="214" t="str">
        <x:v>2. 출시 주차별 신규 유닛 점유율</x:v>
      </x:c>
      <x:c r="H14" s="215" t="str">
        <x:v>2. 출시 주차별 신규 유닛 점유율</x:v>
      </x:c>
    </x:row>
    <x:row r="15" ht="28" customHeight="1">
      <x:c r="A15" s="221" t="str">
        <x:v>기간</x:v>
      </x:c>
      <x:c r="B15" s="221" t="str">
        <x:v>신규 목표</x:v>
      </x:c>
      <x:c r="C15" s="221" t="str">
        <x:v>기존 합계</x:v>
      </x:c>
      <x:c r="D15" s="221" t="str">
        <x:v>범위</x:v>
      </x:c>
      <x:c r="E15" s="221" t="str">
        <x:v>UI</x:v>
      </x:c>
      <x:c r="F15" s="221" t="str">
        <x:v>종료</x:v>
      </x:c>
      <x:c r="G15" s="221" t="str">
        <x:v>상태</x:v>
      </x:c>
      <x:c r="H15" s="221" t="str">
        <x:v>의도</x:v>
      </x:c>
    </x:row>
    <x:row r="16" ht="40" customHeight="1">
      <x:c r="A16" s="226" t="str">
        <x:v>1주차</x:v>
      </x:c>
      <x:c r="B16" s="234" t="n">
        <x:v>0.4</x:v>
      </x:c>
      <x:c r="C16" s="234" t="n">
        <x:v>0.6</x:v>
      </x:c>
      <x:c r="D16" s="226" t="str">
        <x:v>같은 등급</x:v>
      </x:c>
      <x:c r="E16" s="226" t="str">
        <x:v>신규 픽업</x:v>
      </x:c>
      <x:c r="F16" s="226" t="str">
        <x:v>7일</x:v>
      </x:c>
      <x:c r="G16" s="226" t="str">
        <x:v>권장안·검증</x:v>
      </x:c>
      <x:c r="H16" s="226" t="str">
        <x:v>실제 사용 경험</x:v>
      </x:c>
    </x:row>
    <x:row r="17" ht="40" customHeight="1">
      <x:c r="A17" s="226" t="str">
        <x:v>2주차</x:v>
      </x:c>
      <x:c r="B17" s="234" t="n">
        <x:v>0.3</x:v>
      </x:c>
      <x:c r="C17" s="234" t="n">
        <x:v>0.7</x:v>
      </x:c>
      <x:c r="D17" s="226" t="str">
        <x:v>같은 등급</x:v>
      </x:c>
      <x:c r="E17" s="226" t="str">
        <x:v>픽업</x:v>
      </x:c>
      <x:c r="F17" s="226" t="str">
        <x:v>14일</x:v>
      </x:c>
      <x:c r="G17" s="226" t="str">
        <x:v>권장안·검증</x:v>
      </x:c>
      <x:c r="H17" s="226" t="str">
        <x:v>점진 정상화</x:v>
      </x:c>
    </x:row>
    <x:row r="18" ht="40" customHeight="1">
      <x:c r="A18" s="226" t="str">
        <x:v>3주차</x:v>
      </x:c>
      <x:c r="B18" s="234" t="n">
        <x:v>0.2</x:v>
      </x:c>
      <x:c r="C18" s="234" t="n">
        <x:v>0.8</x:v>
      </x:c>
      <x:c r="D18" s="226" t="str">
        <x:v>같은 등급</x:v>
      </x:c>
      <x:c r="E18" s="226" t="str">
        <x:v>약한 픽업</x:v>
      </x:c>
      <x:c r="F18" s="226" t="str">
        <x:v>21일</x:v>
      </x:c>
      <x:c r="G18" s="226" t="str">
        <x:v>권장안·검증</x:v>
      </x:c>
      <x:c r="H18" s="226" t="str">
        <x:v>기존 풀 혼합</x:v>
      </x:c>
    </x:row>
    <x:row r="19" ht="40" customHeight="1">
      <x:c r="A19" s="226" t="str">
        <x:v>4주차+</x:v>
      </x:c>
      <x:c r="B19" s="234"/>
      <x:c r="C19" s="234" t="n">
        <x:v>1</x:v>
      </x:c>
      <x:c r="D19" s="226" t="str">
        <x:v>기본 가중치</x:v>
      </x:c>
      <x:c r="E19" s="226" t="str">
        <x:v>없음</x:v>
      </x:c>
      <x:c r="F19" s="226" t="str">
        <x:v>-</x:v>
      </x:c>
      <x:c r="G19" s="226" t="str">
        <x:v>확정 원칙</x:v>
      </x:c>
      <x:c r="H19" s="226" t="str">
        <x:v>상시 풀 복귀</x:v>
      </x:c>
    </x:row>
    <x:row r="21" ht="24" customHeight="1">
      <x:c r="A21" s="213" t="str">
        <x:v>3. 개인 신규/포커스와 목표 점유율 방식</x:v>
      </x:c>
      <x:c r="B21" s="214" t="str">
        <x:v>3. 개인 신규/포커스와 목표 점유율 방식</x:v>
      </x:c>
      <x:c r="C21" s="214" t="str">
        <x:v>3. 개인 신규/포커스와 목표 점유율 방식</x:v>
      </x:c>
      <x:c r="D21" s="214" t="str">
        <x:v>3. 개인 신규/포커스와 목표 점유율 방식</x:v>
      </x:c>
      <x:c r="E21" s="214" t="str">
        <x:v>3. 개인 신규/포커스와 목표 점유율 방식</x:v>
      </x:c>
      <x:c r="F21" s="214" t="str">
        <x:v>3. 개인 신규/포커스와 목표 점유율 방식</x:v>
      </x:c>
      <x:c r="G21" s="214" t="str">
        <x:v>3. 개인 신규/포커스와 목표 점유율 방식</x:v>
      </x:c>
      <x:c r="H21" s="215" t="str">
        <x:v>3. 개인 신규/포커스와 목표 점유율 방식</x:v>
      </x:c>
    </x:row>
    <x:row r="22" ht="28" customHeight="1">
      <x:c r="A22" s="221" t="str">
        <x:v>기능</x:v>
      </x:c>
      <x:c r="B22" s="221" t="str">
        <x:v>기간/슬롯</x:v>
      </x:c>
      <x:c r="C22" s="221" t="str">
        <x:v>설정</x:v>
      </x:c>
      <x:c r="D22" s="221" t="str">
        <x:v>표시</x:v>
      </x:c>
      <x:c r="E22" s="221" t="str">
        <x:v>상한</x:v>
      </x:c>
      <x:c r="F22" s="221" t="str">
        <x:v>상태</x:v>
      </x:c>
      <x:c r="G22" s="221" t="str">
        <x:v>주의</x:v>
      </x:c>
      <x:c r="H22" s="221" t="str">
        <x:v>검증</x:v>
      </x:c>
    </x:row>
    <x:row r="23" ht="40" customHeight="1">
      <x:c r="A23" s="226" t="str">
        <x:v>개인 신규</x:v>
      </x:c>
      <x:c r="B23" s="226" t="str">
        <x:v>첫 3런</x:v>
      </x:c>
      <x:c r="C23" s="226" t="str">
        <x:v>같은 등급 내 50% 목표</x:v>
      </x:c>
      <x:c r="D23" s="226" t="str">
        <x:v>새 획득 보너스</x:v>
      </x:c>
      <x:c r="E23" s="226" t="str">
        <x:v>단일 80% 권장</x:v>
      </x:c>
      <x:c r="F23" s="226" t="str">
        <x:v>권장안·검증</x:v>
      </x:c>
      <x:c r="G23" s="226" t="str">
        <x:v>완료 런 기준 차감 권장</x:v>
      </x:c>
      <x:c r="H23" s="226" t="str">
        <x:v>정확히 3런</x:v>
      </x:c>
    </x:row>
    <x:row r="24" ht="40" customHeight="1">
      <x:c r="A24" s="226" t="str">
        <x:v>포커스</x:v>
      </x:c>
      <x:c r="B24" s="226" t="str">
        <x:v>3슬롯</x:v>
      </x:c>
      <x:c r="C24" s="226" t="str">
        <x:v>각 기본 가중치 +50%</x:v>
      </x:c>
      <x:c r="D24" s="226" t="str">
        <x:v>집중 소환</x:v>
      </x:c>
      <x:c r="E24" s="226" t="str">
        <x:v>단일 80% 권장</x:v>
      </x:c>
      <x:c r="F24" s="226" t="str">
        <x:v>선택안</x:v>
      </x:c>
      <x:c r="G24" s="226" t="str">
        <x:v>고정 덱처럼 보이지 않게 전체 풀 표시</x:v>
      </x:c>
      <x:c r="H24" s="226" t="str">
        <x:v>잠금 지정 불가</x:v>
      </x:c>
    </x:row>
    <x:row r="25" ht="40" customHeight="1">
      <x:c r="A25" s="226" t="str">
        <x:v>기본 보유</x:v>
      </x:c>
      <x:c r="B25" s="226" t="str">
        <x:v>상시</x:v>
      </x:c>
      <x:c r="C25" s="226" t="str">
        <x:v>나머지 확률 분배</x:v>
      </x:c>
      <x:c r="D25" s="226" t="str">
        <x:v>보유 풀</x:v>
      </x:c>
      <x:c r="E25" s="226" t="str">
        <x:v>-</x:v>
      </x:c>
      <x:c r="F25" s="226" t="str">
        <x:v>확정</x:v>
      </x:c>
      <x:c r="G25" s="226" t="str">
        <x:v>기존 유닛 완전 배제 금지</x:v>
      </x:c>
      <x:c r="H25" s="226" t="str">
        <x:v>항상 등장 가능</x:v>
      </x:c>
    </x:row>
    <x:row r="26" ht="40" customHeight="1">
      <x:c r="A26" s="226" t="str">
        <x:v>목표 점유율</x:v>
      </x:c>
      <x:c r="B26" s="226" t="str">
        <x:v>풀 크기 무관</x:v>
      </x:c>
      <x:c r="C26" s="226" t="str">
        <x:v>단순 x2 고정보다 우선</x:v>
      </x:c>
      <x:c r="D26" s="226" t="str">
        <x:v>신규 픽업</x:v>
      </x:c>
      <x:c r="E26" s="226" t="str">
        <x:v>목표 기반 정규화</x:v>
      </x:c>
      <x:c r="F26" s="226" t="str">
        <x:v>확정 원칙</x:v>
      </x:c>
      <x:c r="G26" s="226" t="str">
        <x:v>풀 증가에 따라 노출이 희석되지 않음</x:v>
      </x:c>
      <x:c r="H26" s="226" t="str">
        <x:v>출시 주차 분포</x:v>
      </x:c>
    </x:row>
    <x:row r="28" ht="24" customHeight="1">
      <x:c r="A28" s="213" t="str">
        <x:v>4. 단순 배수와 목표 점유율 비교</x:v>
      </x:c>
      <x:c r="B28" s="214" t="str">
        <x:v>4. 단순 배수와 목표 점유율 비교</x:v>
      </x:c>
      <x:c r="C28" s="214" t="str">
        <x:v>4. 단순 배수와 목표 점유율 비교</x:v>
      </x:c>
      <x:c r="D28" s="214" t="str">
        <x:v>4. 단순 배수와 목표 점유율 비교</x:v>
      </x:c>
      <x:c r="E28" s="214" t="str">
        <x:v>4. 단순 배수와 목표 점유율 비교</x:v>
      </x:c>
      <x:c r="F28" s="214" t="str">
        <x:v>4. 단순 배수와 목표 점유율 비교</x:v>
      </x:c>
      <x:c r="G28" s="214" t="str">
        <x:v>4. 단순 배수와 목표 점유율 비교</x:v>
      </x:c>
      <x:c r="H28" s="215" t="str">
        <x:v>4. 단순 배수와 목표 점유율 비교</x:v>
      </x:c>
    </x:row>
    <x:row r="29" ht="28" customHeight="1">
      <x:c r="A29" s="221" t="str">
        <x:v>가정</x:v>
      </x:c>
      <x:c r="B29" s="221" t="str">
        <x:v>풀 크기</x:v>
      </x:c>
      <x:c r="C29" s="221" t="str">
        <x:v>단순 신규 배수</x:v>
      </x:c>
      <x:c r="D29" s="221" t="str">
        <x:v>단순 점유율</x:v>
      </x:c>
      <x:c r="E29" s="221" t="str">
        <x:v>목표 점유율</x:v>
      </x:c>
      <x:c r="F29" s="221" t="str">
        <x:v>필요 상대 배수</x:v>
      </x:c>
      <x:c r="G29" s="221" t="str">
        <x:v>결론</x:v>
      </x:c>
      <x:c r="H29" s="221" t="str">
        <x:v>비고</x:v>
      </x:c>
    </x:row>
    <x:row r="30" ht="40" customHeight="1">
      <x:c r="A30" s="226" t="str">
        <x:v>신규 1 + 기존 7</x:v>
      </x:c>
      <x:c r="B30" s="226" t="n">
        <x:v>8</x:v>
      </x:c>
      <x:c r="C30" s="226" t="n">
        <x:v>2</x:v>
      </x:c>
      <x:c r="D30" s="232" t="n">
        <x:f>C30/(B30-1+C30)</x:f>
        <x:v>0.2222222222222222</x:v>
      </x:c>
      <x:c r="E30" s="232" t="n">
        <x:v>0.4</x:v>
      </x:c>
      <x:c r="F30" s="235" t="n">
        <x:f>E30*(B30-1)/(1-E30)</x:f>
        <x:v>4.666666666666667</x:v>
      </x:c>
      <x:c r="G30" s="226" t="str">
        <x:v>x2면 22.2%로 목표 40%에 미달</x:v>
      </x:c>
      <x:c r="H30" s="226" t="str">
        <x:v>출시 운영은 목표 점유율로 정규화</x:v>
      </x:c>
    </x:row>
  </x:sheetData>
  <x:mergeCells>
    <x:mergeCell ref="A1:H1"/>
    <x:mergeCell ref="A2:H2"/>
    <x:mergeCell ref="A4:H4"/>
    <x:mergeCell ref="A14:H14"/>
    <x:mergeCell ref="A21:H21"/>
    <x:mergeCell ref="A28:H28"/>
  </x:mergeCells>
  <x:conditionalFormatting sqref="G6:G12">
    <x:cfRule type="containsText" dxfId="18" priority="1" operator="containsText" text="확정"/>
    <x:cfRule type="containsText" dxfId="19" priority="2" operator="containsText" text="검증"/>
    <x:cfRule type="containsText" dxfId="20" priority="3" operator="containsText" text="미구현"/>
  </x:conditionalFormatting>
  <x:conditionalFormatting sqref="G16:G19">
    <x:cfRule type="containsText" dxfId="21" priority="4" operator="containsText" text="확정"/>
    <x:cfRule type="containsText" dxfId="22" priority="5" operator="containsText" text="검증"/>
    <x:cfRule type="containsText" dxfId="23" priority="6" operator="containsText" text="미구현"/>
  </x:conditionalFormatting>
  <x:conditionalFormatting sqref="F23:F26">
    <x:cfRule type="containsText" dxfId="24" priority="7" operator="containsText" text="확정"/>
    <x:cfRule type="containsText" dxfId="25" priority="8" operator="containsText" text="검증"/>
    <x:cfRule type="containsText" dxfId="26" priority="9" operator="containsText" text="미구현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42" hidden="0" customWidth="1"/>
    <x:col min="5" max="5" width="32" hidden="0" customWidth="1"/>
    <x:col min="6" max="6" width="22" hidden="0" customWidth="1"/>
    <x:col min="7" max="7" width="18" hidden="0" customWidth="1"/>
    <x:col min="8" max="8" width="34" hidden="0" customWidth="1"/>
  </x:cols>
  <x:sheetData>
    <x:row r="1" ht="30" customHeight="1">
      <x:c r="A1" s="202" t="str">
        <x:v>서비스 획득 · 얏찌 제작 체크리스트</x:v>
      </x:c>
      <x:c r="B1" s="202"/>
      <x:c r="C1" s="202"/>
      <x:c r="D1" s="202"/>
      <x:c r="E1" s="202"/>
      <x:c r="F1" s="202"/>
      <x:c r="G1" s="202"/>
      <x:c r="H1" s="202"/>
    </x:row>
    <x:row r="2" ht="28" customHeight="1">
      <x:c r="A2" s="207" t="str">
        <x:v>확정 정책을 데이터·세이브·UI·상자·BM·소환·검증 단계로 분해한 구현 순서.</x:v>
      </x:c>
      <x:c r="B2" s="207"/>
      <x:c r="C2" s="207"/>
      <x:c r="D2" s="207"/>
      <x:c r="E2" s="207"/>
      <x:c r="F2" s="207"/>
      <x:c r="G2" s="207"/>
      <x:c r="H2" s="207"/>
    </x:row>
    <x:row r="4" ht="28" customHeight="1">
      <x:c r="A4" s="221" t="str">
        <x:v>우선</x:v>
      </x:c>
      <x:c r="B4" s="221" t="str">
        <x:v>영역</x:v>
      </x:c>
      <x:c r="C4" s="221" t="str">
        <x:v>제작 항목</x:v>
      </x:c>
      <x:c r="D4" s="221" t="str">
        <x:v>수용 기준</x:v>
      </x:c>
      <x:c r="E4" s="221" t="str">
        <x:v>권장 구성</x:v>
      </x:c>
      <x:c r="F4" s="221" t="str">
        <x:v>선행</x:v>
      </x:c>
      <x:c r="G4" s="221" t="str">
        <x:v>상태</x:v>
      </x:c>
      <x:c r="H4" s="221" t="str">
        <x:v>검증</x:v>
      </x:c>
    </x:row>
    <x:row r="5" ht="40" customHeight="1">
      <x:c r="A5" s="226" t="str">
        <x:v>P0</x:v>
      </x:c>
      <x:c r="B5" s="226" t="str">
        <x:v>재화</x:v>
      </x:c>
      <x:c r="C5" s="226" t="str">
        <x:v>전투 골드/계정 골드 분리</x:v>
      </x:c>
      <x:c r="D5" s="226" t="str">
        <x:v>런 종료 시 전투 골드만 초기화</x:v>
      </x:c>
      <x:c r="E5" s="226" t="str">
        <x:v>RunCurrency / CurrencyWallet</x:v>
      </x:c>
      <x:c r="F5" s="226" t="str">
        <x:v>세이브</x:v>
      </x:c>
      <x:c r="G5" s="226" t="str">
        <x:v>미구현</x:v>
      </x:c>
      <x:c r="H5" s="226" t="str">
        <x:v>신규/기존 세이브</x:v>
      </x:c>
    </x:row>
    <x:row r="6" ht="40" customHeight="1">
      <x:c r="A6" s="226" t="str">
        <x:v>P0</x:v>
      </x:c>
      <x:c r="B6" s="226" t="str">
        <x:v>인벤</x:v>
      </x:c>
      <x:c r="C6" s="226" t="str">
        <x:v>보유 유닛을 소환 권한 단일 기준으로</x:v>
      </x:c>
      <x:c r="D6" s="226" t="str">
        <x:v>잠금 유닛 소환 0회</x:v>
      </x:c>
      <x:c r="E6" s="226" t="str">
        <x:v>OwnedUnitInventory</x:v>
      </x:c>
      <x:c r="F6" s="226" t="str">
        <x:v>세이브</x:v>
      </x:c>
      <x:c r="G6" s="226" t="str">
        <x:v>미구현</x:v>
      </x:c>
      <x:c r="H6" s="226" t="str">
        <x:v>서비스/Test 교차</x:v>
      </x:c>
    </x:row>
    <x:row r="7" ht="40" customHeight="1">
      <x:c r="A7" s="226" t="str">
        <x:v>P0</x:v>
      </x:c>
      <x:c r="B7" s="226" t="str">
        <x:v>세이브</x:v>
      </x:c>
      <x:c r="C7" s="226" t="str">
        <x:v>버전·마이그레이션</x:v>
      </x:c>
      <x:c r="D7" s="226" t="str">
        <x:v>재화/유닛/상자 유실 0</x:v>
      </x:c>
      <x:c r="E7" s="226" t="str">
        <x:v>SaveData vNext</x:v>
      </x:c>
      <x:c r="F7" s="226" t="str">
        <x:v>필드 정의</x:v>
      </x:c>
      <x:c r="G7" s="226" t="str">
        <x:v>미구현</x:v>
      </x:c>
      <x:c r="H7" s="226" t="str">
        <x:v>구버전 fixture</x:v>
      </x:c>
    </x:row>
    <x:row r="8" ht="40" customHeight="1">
      <x:c r="A8" s="226" t="str">
        <x:v>P0</x:v>
      </x:c>
      <x:c r="B8" s="226" t="str">
        <x:v>데이터</x:v>
      </x:c>
      <x:c r="C8" s="226" t="str">
        <x:v>YatzyConfig</x:v>
      </x:c>
      <x:c r="D8" s="226" t="str">
        <x:v>100G·20/50DIA·첫 굴림 정책 데이터화</x:v>
      </x:c>
      <x:c r="E8" s="226" t="str">
        <x:v>ScriptableObject/JSON</x:v>
      </x:c>
      <x:c r="F8" s="226" t="str">
        <x:v>경제</x:v>
      </x:c>
      <x:c r="G8" s="226" t="str">
        <x:v>미구현</x:v>
      </x:c>
      <x:c r="H8" s="226" t="str">
        <x:v>버전 로그</x:v>
      </x:c>
    </x:row>
    <x:row r="9" ht="40" customHeight="1">
      <x:c r="A9" s="226" t="str">
        <x:v>P0</x:v>
      </x:c>
      <x:c r="B9" s="226" t="str">
        <x:v>데이터</x:v>
      </x:c>
      <x:c r="C9" s="226" t="str">
        <x:v>RewardPoolConfig</x:v>
      </x:c>
      <x:c r="D9" s="226" t="str">
        <x:v>골드/다이아/유닛 합 100%</x:v>
      </x:c>
      <x:c r="E9" s="226" t="str">
        <x:v>ScriptableObject/JSON</x:v>
      </x:c>
      <x:c r="F9" s="226" t="str">
        <x:v>보상 수치</x:v>
      </x:c>
      <x:c r="G9" s="226" t="str">
        <x:v>미구현</x:v>
      </x:c>
      <x:c r="H9" s="226" t="str">
        <x:v>수식 검사</x:v>
      </x:c>
    </x:row>
    <x:row r="10" ht="40" customHeight="1">
      <x:c r="A10" s="226" t="str">
        <x:v>P0</x:v>
      </x:c>
      <x:c r="B10" s="226" t="str">
        <x:v>데이터</x:v>
      </x:c>
      <x:c r="C10" s="226" t="str">
        <x:v>FirstClearTicketConfig</x:v>
      </x:c>
      <x:c r="D10" s="226" t="str">
        <x:v>R1~50 총 150, 재클리어 0</x:v>
      </x:c>
      <x:c r="E10" s="226" t="str">
        <x:v>FirstClearRewardTable</x:v>
      </x:c>
      <x:c r="F10" s="226" t="str">
        <x:v>플래그</x:v>
      </x:c>
      <x:c r="G10" s="226" t="str">
        <x:v>미구현</x:v>
      </x:c>
      <x:c r="H10" s="226" t="str">
        <x:v>경계 라운드</x:v>
      </x:c>
    </x:row>
    <x:row r="11" ht="40" customHeight="1">
      <x:c r="A11" s="226" t="str">
        <x:v>P1</x:v>
      </x:c>
      <x:c r="B11" s="226" t="str">
        <x:v>얏찌</x:v>
      </x:c>
      <x:c r="C11" s="226" t="str">
        <x:v>YatzySessionState</x:v>
      </x:c>
      <x:c r="D11" s="226" t="str">
        <x:v>ticket/dice/held/spend/multiplier 저장</x:v>
      </x:c>
      <x:c r="E11" s="226" t="str">
        <x:v>YatzySessionState</x:v>
      </x:c>
      <x:c r="F11" s="226" t="str">
        <x:v>P0</x:v>
      </x:c>
      <x:c r="G11" s="226" t="str">
        <x:v>미구현</x:v>
      </x:c>
      <x:c r="H11" s="226" t="str">
        <x:v>강제 종료/재접속</x:v>
      </x:c>
    </x:row>
    <x:row r="12" ht="40" customHeight="1">
      <x:c r="A12" s="226" t="str">
        <x:v>P1</x:v>
      </x:c>
      <x:c r="B12" s="226" t="str">
        <x:v>얏찌</x:v>
      </x:c>
      <x:c r="C12" s="226" t="str">
        <x:v>굴림·홀드·무제한 고정가 재굴림</x:v>
      </x:c>
      <x:c r="D12" s="226" t="str">
        <x:v>각 면 1/6·최대 홀드2·천장 없음</x:v>
      </x:c>
      <x:c r="E12" s="226" t="str">
        <x:v>YatzyController</x:v>
      </x:c>
      <x:c r="F12" s="226" t="str">
        <x:v>YatzyConfig</x:v>
      </x:c>
      <x:c r="G12" s="226" t="str">
        <x:v>미구현</x:v>
      </x:c>
      <x:c r="H12" s="226" t="str">
        <x:v>통계+PlayMode</x:v>
      </x:c>
    </x:row>
    <x:row r="13" ht="40" customHeight="1">
      <x:c r="A13" s="226" t="str">
        <x:v>P1</x:v>
      </x:c>
      <x:c r="B13" s="226" t="str">
        <x:v>얏찌 UI</x:v>
      </x:c>
      <x:c r="C13" s="226" t="str">
        <x:v>배수·누적 소비·다음 비용</x:v>
      </x:c>
      <x:c r="D13" s="226" t="str">
        <x:v>결정 정보 한 화면 표시</x:v>
      </x:c>
      <x:c r="E13" s="226" t="str">
        <x:v>YatzyUI</x:v>
      </x:c>
      <x:c r="F13" s="226" t="str">
        <x:v>코어 API</x:v>
      </x:c>
      <x:c r="G13" s="226" t="str">
        <x:v>미구현</x:v>
      </x:c>
      <x:c r="H13" s="226" t="str">
        <x:v>Z Flip4</x:v>
      </x:c>
    </x:row>
    <x:row r="14" ht="40" customHeight="1">
      <x:c r="A14" s="226" t="str">
        <x:v>P1</x:v>
      </x:c>
      <x:c r="B14" s="226" t="str">
        <x:v>얏찌</x:v>
      </x:c>
      <x:c r="C14" s="226" t="str">
        <x:v>결과 확정</x:v>
      </x:c>
      <x:c r="D14" s="226" t="str">
        <x:v>111~666 x1~6, 기타 x1</x:v>
      </x:c>
      <x:c r="E14" s="226" t="str">
        <x:v>YatzyResultResolver</x:v>
      </x:c>
      <x:c r="F14" s="226" t="str">
        <x:v>세션</x:v>
      </x:c>
      <x:c r="G14" s="226" t="str">
        <x:v>미구현</x:v>
      </x:c>
      <x:c r="H14" s="226" t="str">
        <x:v>모든 조합</x:v>
      </x:c>
    </x:row>
    <x:row r="15" ht="40" customHeight="1">
      <x:c r="A15" s="226" t="str">
        <x:v>P2</x:v>
      </x:c>
      <x:c r="B15" s="226" t="str">
        <x:v>상자</x:v>
      </x:c>
      <x:c r="C15" s="226" t="str">
        <x:v>배수 각인 상자</x:v>
      </x:c>
      <x:c r="D15" s="226" t="str">
        <x:v>티켓 1장당 상자 1개·중복 발급 0</x:v>
      </x:c>
      <x:c r="E15" s="226" t="str">
        <x:v>RewardChestInstance</x:v>
      </x:c>
      <x:c r="F15" s="226" t="str">
        <x:v>결과</x:v>
      </x:c>
      <x:c r="G15" s="226" t="str">
        <x:v>미구현</x:v>
      </x:c>
      <x:c r="H15" s="226" t="str">
        <x:v>idempotency</x:v>
      </x:c>
    </x:row>
    <x:row r="16" ht="40" customHeight="1">
      <x:c r="A16" s="226" t="str">
        <x:v>P2</x:v>
      </x:c>
      <x:c r="B16" s="226" t="str">
        <x:v>상자</x:v>
      </x:c>
      <x:c r="C16" s="226" t="str">
        <x:v>1/10/전부 개봉</x:v>
      </x:c>
      <x:c r="D16" s="226" t="str">
        <x:v>순차 카드·스킵·중단 복구</x:v>
      </x:c>
      <x:c r="E16" s="226" t="str">
        <x:v>ChestOpenFlow</x:v>
      </x:c>
      <x:c r="F16" s="226" t="str">
        <x:v>보상 트랜잭션</x:v>
      </x:c>
      <x:c r="G16" s="226" t="str">
        <x:v>미구현</x:v>
      </x:c>
      <x:c r="H16" s="226" t="str">
        <x:v>100개 성능</x:v>
      </x:c>
    </x:row>
    <x:row r="17" ht="40" customHeight="1">
      <x:c r="A17" s="226" t="str">
        <x:v>P2</x:v>
      </x:c>
      <x:c r="B17" s="226" t="str">
        <x:v>상자</x:v>
      </x:c>
      <x:c r="C17" s="226" t="str">
        <x:v>배수는 수량만</x:v>
      </x:c>
      <x:c r="D17" s="226" t="str">
        <x:v>희귀도 확률 불변</x:v>
      </x:c>
      <x:c r="E17" s="226" t="str">
        <x:v>RewardResolver</x:v>
      </x:c>
      <x:c r="F17" s="226" t="str">
        <x:v>보상풀</x:v>
      </x:c>
      <x:c r="G17" s="226" t="str">
        <x:v>미구현</x:v>
      </x:c>
      <x:c r="H17" s="226" t="str">
        <x:v>x1~x6 비교</x:v>
      </x:c>
    </x:row>
    <x:row r="18" ht="40" customHeight="1">
      <x:c r="A18" s="226" t="str">
        <x:v>P3</x:v>
      </x:c>
      <x:c r="B18" s="226" t="str">
        <x:v>충전</x:v>
      </x:c>
      <x:c r="C18" s="226" t="str">
        <x:v>얏찌 내 골드/다이아/티켓 +</x:v>
      </x:c>
      <x:c r="D18" s="226" t="str">
        <x:v>고정 SKU 팝업</x:v>
      </x:c>
      <x:c r="E18" s="226" t="str">
        <x:v>CurrencyTopUpUI</x:v>
      </x:c>
      <x:c r="F18" s="226" t="str">
        <x:v>카탈로그</x:v>
      </x:c>
      <x:c r="G18" s="226" t="str">
        <x:v>미구현</x:v>
      </x:c>
      <x:c r="H18" s="226" t="str">
        <x:v>잔액 갱신</x:v>
      </x:c>
    </x:row>
    <x:row r="19" ht="40" customHeight="1">
      <x:c r="A19" s="226" t="str">
        <x:v>P3</x:v>
      </x:c>
      <x:c r="B19" s="226" t="str">
        <x:v>충전</x:v>
      </x:c>
      <x:c r="C19" s="226" t="str">
        <x:v>상점과 카탈로그 통합</x:v>
      </x:c>
      <x:c r="D19" s="226" t="str">
        <x:v>가격/구성 불일치 0</x:v>
      </x:c>
      <x:c r="E19" s="226" t="str">
        <x:v>CurrencyTopUpCatalog</x:v>
      </x:c>
      <x:c r="F19" s="226" t="str">
        <x:v>기존 상점</x:v>
      </x:c>
      <x:c r="G19" s="226" t="str">
        <x:v>미구현</x:v>
      </x:c>
      <x:c r="H19" s="226" t="str">
        <x:v>SKU snapshot</x:v>
      </x:c>
    </x:row>
    <x:row r="20" ht="40" customHeight="1">
      <x:c r="A20" s="226" t="str">
        <x:v>P3</x:v>
      </x:c>
      <x:c r="B20" s="226" t="str">
        <x:v>충전</x:v>
      </x:c>
      <x:c r="C20" s="226" t="str">
        <x:v>구매 후 세션 보존</x:v>
      </x:c>
      <x:c r="D20" s="226" t="str">
        <x:v>자동 닫기/굴림/홀드 없음</x:v>
      </x:c>
      <x:c r="E20" s="226" t="str">
        <x:v>PurchaseFlow</x:v>
      </x:c>
      <x:c r="F20" s="226" t="str">
        <x:v>세션</x:v>
      </x:c>
      <x:c r="G20" s="226" t="str">
        <x:v>미구현</x:v>
      </x:c>
      <x:c r="H20" s="226" t="str">
        <x:v>성공/취소/실패</x:v>
      </x:c>
    </x:row>
    <x:row r="21" ht="40" customHeight="1">
      <x:c r="A21" s="226" t="str">
        <x:v>P3</x:v>
      </x:c>
      <x:c r="B21" s="226" t="str">
        <x:v>획득 제한</x:v>
      </x:c>
      <x:c r="C21" s="226" t="str">
        <x:v>상점 일반~전설, 신화/초월 별도</x:v>
      </x:c>
      <x:c r="D21" s="226" t="str">
        <x:v>금지 SKU 노출 0</x:v>
      </x:c>
      <x:c r="E21" s="226" t="str">
        <x:v>OfferEligibility</x:v>
      </x:c>
      <x:c r="F21" s="226" t="str">
        <x:v>인벤</x:v>
      </x:c>
      <x:c r="G21" s="226" t="str">
        <x:v>미구현</x:v>
      </x:c>
      <x:c r="H21" s="226" t="str">
        <x:v>채널 테스트</x:v>
      </x:c>
    </x:row>
    <x:row r="22" ht="40" customHeight="1">
      <x:c r="A22" s="226" t="str">
        <x:v>P4</x:v>
      </x:c>
      <x:c r="B22" s="226" t="str">
        <x:v>소환</x:v>
      </x:c>
      <x:c r="C22" s="226" t="str">
        <x:v>등급 선추첨→보유 유닛 가중</x:v>
      </x:c>
      <x:c r="D22" s="226" t="str">
        <x:v>등급 분포 불변·잠금 0</x:v>
      </x:c>
      <x:c r="E22" s="226" t="str">
        <x:v>ServiceSummonWeightResolver</x:v>
      </x:c>
      <x:c r="F22" s="226" t="str">
        <x:v>인벤</x:v>
      </x:c>
      <x:c r="G22" s="226" t="str">
        <x:v>미구현</x:v>
      </x:c>
      <x:c r="H22" s="226" t="str">
        <x:v>백만회 분포</x:v>
      </x:c>
    </x:row>
    <x:row r="23" ht="40" customHeight="1">
      <x:c r="A23" s="226" t="str">
        <x:v>P4</x:v>
      </x:c>
      <x:c r="B23" s="226" t="str">
        <x:v>소환</x:v>
      </x:c>
      <x:c r="C23" s="226" t="str">
        <x:v>출시 40/30/20% 목표</x:v>
      </x:c>
      <x:c r="D23" s="226" t="str">
        <x:v>풀 크기 무관 목표 점유율</x:v>
      </x:c>
      <x:c r="E23" s="226" t="str">
        <x:v>ServiceReleaseWeightConfig</x:v>
      </x:c>
      <x:c r="F23" s="226" t="str">
        <x:v>원격 값</x:v>
      </x:c>
      <x:c r="G23" s="226" t="str">
        <x:v>검증 필요</x:v>
      </x:c>
      <x:c r="H23" s="226" t="str">
        <x:v>3/8/20 풀</x:v>
      </x:c>
    </x:row>
    <x:row r="24" ht="40" customHeight="1">
      <x:c r="A24" s="226" t="str">
        <x:v>P4</x:v>
      </x:c>
      <x:c r="B24" s="226" t="str">
        <x:v>소환</x:v>
      </x:c>
      <x:c r="C24" s="226" t="str">
        <x:v>개인 신규 3런·포커스 3기</x:v>
      </x:c>
      <x:c r="D24" s="226" t="str">
        <x:v>50% 목표/+50%/단일80%상한</x:v>
      </x:c>
      <x:c r="E24" s="226" t="str">
        <x:v>PersonalDiscoveryBoost/Focus</x:v>
      </x:c>
      <x:c r="F24" s="226" t="str">
        <x:v>정규화</x:v>
      </x:c>
      <x:c r="G24" s="226" t="str">
        <x:v>검증 필요</x:v>
      </x:c>
      <x:c r="H24" s="226" t="str">
        <x:v>중첩</x:v>
      </x:c>
    </x:row>
    <x:row r="25" ht="40" customHeight="1">
      <x:c r="A25" s="226" t="str">
        <x:v>P5</x:v>
      </x:c>
      <x:c r="B25" s="226" t="str">
        <x:v>패스</x:v>
      </x:c>
      <x:c r="C25" s="226" t="str">
        <x:v>최초 클리어 티켓</x:v>
      </x:c>
      <x:c r="D25" s="226" t="str">
        <x:v>R1~50 계단형·반복 0</x:v>
      </x:c>
      <x:c r="E25" s="226" t="str">
        <x:v>FirstClearRewards</x:v>
      </x:c>
      <x:c r="F25" s="226" t="str">
        <x:v>P0</x:v>
      </x:c>
      <x:c r="G25" s="226" t="str">
        <x:v>미구현</x:v>
      </x:c>
      <x:c r="H25" s="226" t="str">
        <x:v>총합 150</x:v>
      </x:c>
    </x:row>
    <x:row r="26" ht="40" customHeight="1">
      <x:c r="A26" s="226" t="str">
        <x:v>P5</x:v>
      </x:c>
      <x:c r="B26" s="226" t="str">
        <x:v>패스</x:v>
      </x:c>
      <x:c r="C26" s="226" t="str">
        <x:v>무료/유료 보상표</x:v>
      </x:c>
      <x:c r="D26" s="226" t="str">
        <x:v>무료 티켓, 유료 추가 티켓/조각</x:v>
      </x:c>
      <x:c r="E26" s="226" t="str">
        <x:v>PassRewardConfig</x:v>
      </x:c>
      <x:c r="F26" s="226" t="str">
        <x:v>시즌</x:v>
      </x:c>
      <x:c r="G26" s="226" t="str">
        <x:v>검증 필요</x:v>
      </x:c>
      <x:c r="H26" s="226" t="str">
        <x:v>시즌 기대 성장</x:v>
      </x:c>
    </x:row>
    <x:row r="27" ht="40" customHeight="1">
      <x:c r="A27" s="226" t="str">
        <x:v>P5</x:v>
      </x:c>
      <x:c r="B27" s="226" t="str">
        <x:v>보상</x:v>
      </x:c>
      <x:c r="C27" s="226" t="str">
        <x:v>일반/보스 보상 분리</x:v>
      </x:c>
      <x:c r="D27" s="226" t="str">
        <x:v>일반 골드·보스 다이아·주요 보스 상향</x:v>
      </x:c>
      <x:c r="E27" s="226" t="str">
        <x:v>StageRewardConfig</x:v>
      </x:c>
      <x:c r="F27" s="226" t="str">
        <x:v>경제</x:v>
      </x:c>
      <x:c r="G27" s="226" t="str">
        <x:v>검증 필요</x:v>
      </x:c>
      <x:c r="H27" s="226" t="str">
        <x:v>R1~50 누적</x:v>
      </x:c>
    </x:row>
    <x:row r="28" ht="40" customHeight="1">
      <x:c r="A28" s="226" t="str">
        <x:v>P6</x:v>
      </x:c>
      <x:c r="B28" s="226" t="str">
        <x:v>운영</x:v>
      </x:c>
      <x:c r="C28" s="226" t="str">
        <x:v>얏찌/소환 텔레메트리</x:v>
      </x:c>
      <x:c r="D28" s="226" t="str">
        <x:v>ticket/sink/source/배수/가중치 추적</x:v>
      </x:c>
      <x:c r="E28" s="226" t="str">
        <x:v>AnalyticsEvents</x:v>
      </x:c>
      <x:c r="F28" s="226" t="str">
        <x:v>이벤트 스키마</x:v>
      </x:c>
      <x:c r="G28" s="226" t="str">
        <x:v>미구현</x:v>
      </x:c>
      <x:c r="H28" s="226" t="str">
        <x:v>대시보드</x:v>
      </x:c>
    </x:row>
    <x:row r="29" ht="40" customHeight="1">
      <x:c r="A29" s="226" t="str">
        <x:v>P6</x:v>
      </x:c>
      <x:c r="B29" s="226" t="str">
        <x:v>밸런스</x:v>
      </x:c>
      <x:c r="C29" s="226" t="str">
        <x:v>3계정 성장 시뮬레이션</x:v>
      </x:c>
      <x:c r="D29" s="226" t="str">
        <x:v>운만으로 허들 전체 돌파 금지</x:v>
      </x:c>
      <x:c r="E29" s="226" t="str">
        <x:v>BalanceHarness</x:v>
      </x:c>
      <x:c r="F29" s="226" t="str">
        <x:v>P1~P5</x:v>
      </x:c>
      <x:c r="G29" s="226" t="str">
        <x:v>검증 필요</x:v>
      </x:c>
      <x:c r="H29" s="226" t="str">
        <x:v>R20/30/40/50</x:v>
      </x:c>
    </x:row>
    <x:row r="30" ht="40" customHeight="1">
      <x:c r="A30" s="226" t="str">
        <x:v>P6</x:v>
      </x:c>
      <x:c r="B30" s="226" t="str">
        <x:v>밸런스</x:v>
      </x:c>
      <x:c r="C30" s="226" t="str">
        <x:v>666 뽕맛</x:v>
      </x:c>
      <x:c r="D30" s="226" t="str">
        <x:v>소비·도달·보상 경제 동시 유지</x:v>
      </x:c>
      <x:c r="E30" s="226" t="str">
        <x:v>Playtest/Telemetry</x:v>
      </x:c>
      <x:c r="F30" s="226" t="str">
        <x:v>얏찌 완성</x:v>
      </x:c>
      <x:c r="G30" s="226" t="str">
        <x:v>검증 필요</x:v>
      </x:c>
      <x:c r="H30" s="226" t="str">
        <x:v>인간 5판</x:v>
      </x:c>
    </x:row>
    <x:row r="31" ht="40" customHeight="1">
      <x:c r="A31" s="226" t="str">
        <x:v>P6</x:v>
      </x:c>
      <x:c r="B31" s="226" t="str">
        <x:v>런타임</x:v>
      </x:c>
      <x:c r="C31" s="226" t="str">
        <x:v>활성 전투만 장기전 배속</x:v>
      </x:c>
      <x:c r="D31" s="226" t="str">
        <x:v>배치/결과/메뉴 카운트 정지</x:v>
      </x:c>
      <x:c r="E31" s="226" t="str">
        <x:v>RoundManager</x:v>
      </x:c>
      <x:c r="F31" s="226" t="str">
        <x:v>기존 코드</x:v>
      </x:c>
      <x:c r="G31" s="226" t="str">
        <x:v>구현 완료·스모크 필요</x:v>
      </x:c>
      <x:c r="H31" s="226" t="str">
        <x:v>메뉴/배치</x:v>
      </x:c>
    </x:row>
  </x:sheetData>
  <x:mergeCells>
    <x:mergeCell ref="A1:H1"/>
    <x:mergeCell ref="A2:H2"/>
  </x:mergeCells>
  <x:conditionalFormatting sqref="G5:G31">
    <x:cfRule type="containsText" dxfId="27" priority="1" operator="containsText" text="확정"/>
    <x:cfRule type="containsText" dxfId="28" priority="2" operator="containsText" text="검증"/>
    <x:cfRule type="containsText" dxfId="29" priority="3" operator="containsText" text="미구현"/>
  </x:conditionalFormatting>
  <x:pageMargins left="0.7" right="0.7" top="0.75" bottom="0.75" header="0.3" footer="0.3"/>
</x:worksheet>
</file>